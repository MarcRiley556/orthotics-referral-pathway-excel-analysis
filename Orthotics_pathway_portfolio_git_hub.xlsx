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57777d7e9bb2f/Desktop/Portfolio_github/Excel ortho project/Orthopaedic project/Final/GIT-hub/"/>
    </mc:Choice>
  </mc:AlternateContent>
  <xr:revisionPtr revIDLastSave="44" documentId="8_{5C35F42C-ACAB-4C20-BABB-03DE718ACD63}" xr6:coauthVersionLast="47" xr6:coauthVersionMax="47" xr10:uidLastSave="{22C56ACA-2B3E-4E8B-8A81-175C21718AF5}"/>
  <bookViews>
    <workbookView xWindow="-28920" yWindow="-120" windowWidth="29040" windowHeight="15720" xr2:uid="{EA58D725-6F06-4F17-B74B-87A9B875D050}"/>
  </bookViews>
  <sheets>
    <sheet name="DATA Cleaning" sheetId="1" r:id="rId1"/>
    <sheet name="Refererence Tables" sheetId="2" r:id="rId2"/>
    <sheet name="Initial Analysis" sheetId="4" r:id="rId3"/>
    <sheet name="Deeper  Analysis &amp; Validation" sheetId="7" r:id="rId4"/>
    <sheet name="Dashboard" sheetId="9" r:id="rId5"/>
  </sheet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" l="1" a="1"/>
  <c r="A25" i="2" s="1"/>
  <c r="D41" i="7" a="1"/>
  <c r="D41" i="7" s="1"/>
  <c r="C41" i="7" a="1"/>
  <c r="C41" i="7" s="1"/>
  <c r="G20" i="7"/>
  <c r="G19" i="7"/>
  <c r="C24" i="7"/>
  <c r="C37" i="7"/>
  <c r="C33" i="7"/>
  <c r="C34" i="7"/>
  <c r="D12" i="7"/>
  <c r="D10" i="7"/>
  <c r="C36" i="7" s="1"/>
  <c r="F3" i="2"/>
  <c r="F4" i="2"/>
  <c r="C32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<sst xmlns="http://schemas.openxmlformats.org/spreadsheetml/2006/main" count="511" uniqueCount="120">
  <si>
    <t>NHS Number</t>
  </si>
  <si>
    <t>Patient Initials</t>
  </si>
  <si>
    <t>Class</t>
  </si>
  <si>
    <t>Class Code</t>
  </si>
  <si>
    <t>Referring Therapist</t>
  </si>
  <si>
    <t>Review of AFO</t>
  </si>
  <si>
    <t>Shoe raise</t>
  </si>
  <si>
    <t>LLD</t>
  </si>
  <si>
    <t>Varus deformity</t>
  </si>
  <si>
    <t>Shoe Raise</t>
  </si>
  <si>
    <t>Varus knee</t>
  </si>
  <si>
    <t>Footwear</t>
  </si>
  <si>
    <t>Foot orthotic</t>
  </si>
  <si>
    <t>Orthotic - Arm</t>
  </si>
  <si>
    <t>Collar &amp; cuff</t>
  </si>
  <si>
    <t>AFO review</t>
  </si>
  <si>
    <t>Wrist pain</t>
  </si>
  <si>
    <t>Orthotic - Knee</t>
  </si>
  <si>
    <t>Knee OA</t>
  </si>
  <si>
    <t>AFO</t>
  </si>
  <si>
    <t>Knee instability</t>
  </si>
  <si>
    <t>Foot pain</t>
  </si>
  <si>
    <t>Shoulder support</t>
  </si>
  <si>
    <t>Orthotics type</t>
  </si>
  <si>
    <t>Orthotics code</t>
  </si>
  <si>
    <t>Orthotic - Neck</t>
  </si>
  <si>
    <t>Orthotic - Wrist</t>
  </si>
  <si>
    <t>Orthotic - Hip</t>
  </si>
  <si>
    <t>Orthotic - Foot</t>
  </si>
  <si>
    <t>Raw</t>
  </si>
  <si>
    <t>Name</t>
  </si>
  <si>
    <t>Interval GP/Orthotics WD</t>
  </si>
  <si>
    <t>Interval Orthotics to Initial assessment WD</t>
  </si>
  <si>
    <t>Total Pathway WD</t>
  </si>
  <si>
    <t>Initial assessment date Date</t>
  </si>
  <si>
    <t>Category</t>
  </si>
  <si>
    <t>Osteoarthritis</t>
  </si>
  <si>
    <t>Weakness/Instability</t>
  </si>
  <si>
    <t>Pain</t>
  </si>
  <si>
    <t>Leg length Descrepancy</t>
  </si>
  <si>
    <t>Count of NHS Number</t>
  </si>
  <si>
    <t>Average of Total Pathway WD</t>
  </si>
  <si>
    <t>Average of Interval GP/Orthotics WD</t>
  </si>
  <si>
    <t>Row Labels</t>
  </si>
  <si>
    <t>Grand Total</t>
  </si>
  <si>
    <t>Count of Class</t>
  </si>
  <si>
    <t>Average of Interval Orthotics to Initial assessment WD</t>
  </si>
  <si>
    <t>Referral number</t>
  </si>
  <si>
    <t>Count of Referral number</t>
  </si>
  <si>
    <t>Accepted</t>
  </si>
  <si>
    <t>Rejected</t>
  </si>
  <si>
    <t>Notes</t>
  </si>
  <si>
    <t>Outcome</t>
  </si>
  <si>
    <t>Count of Outcome</t>
  </si>
  <si>
    <t>Reason for referral</t>
  </si>
  <si>
    <t>Problem</t>
  </si>
  <si>
    <t>Count of Reason for referral</t>
  </si>
  <si>
    <t>Orthoticsc reciept</t>
  </si>
  <si>
    <t xml:space="preserve">Request  sent </t>
  </si>
  <si>
    <t>Year</t>
  </si>
  <si>
    <t>Leg length discrepancy</t>
  </si>
  <si>
    <t>Count of Year</t>
  </si>
  <si>
    <t>ANONYMISED</t>
  </si>
  <si>
    <t>Mean Total pathway 2024</t>
  </si>
  <si>
    <t>Range 2024</t>
  </si>
  <si>
    <t>26 to 50</t>
  </si>
  <si>
    <t>28 to 40</t>
  </si>
  <si>
    <t>Column Labels</t>
  </si>
  <si>
    <t>Pathway stage</t>
  </si>
  <si>
    <t>Total Pathway</t>
  </si>
  <si>
    <t>KPI</t>
  </si>
  <si>
    <t>Pathway reduction</t>
  </si>
  <si>
    <t>2024 Avg Pathway</t>
  </si>
  <si>
    <t>2025 Avg Pathway</t>
  </si>
  <si>
    <t>Value</t>
  </si>
  <si>
    <t>Service Improvement Evaluation | 2024–2025</t>
  </si>
  <si>
    <t>ORTHOTICS REFERRAL PATHWAY</t>
  </si>
  <si>
    <t>Rejected referrals</t>
  </si>
  <si>
    <t xml:space="preserve"> insert chart</t>
  </si>
  <si>
    <t>2024 Range Width</t>
  </si>
  <si>
    <t>2025 Range Width</t>
  </si>
  <si>
    <t>Ref 1</t>
  </si>
  <si>
    <t>Ref 2</t>
  </si>
  <si>
    <t>Ref 3</t>
  </si>
  <si>
    <t>Ref 4</t>
  </si>
  <si>
    <t>Ref 5</t>
  </si>
  <si>
    <t>Ref 6</t>
  </si>
  <si>
    <t>Ref 7</t>
  </si>
  <si>
    <t>Ref 8</t>
  </si>
  <si>
    <t>Ref 9</t>
  </si>
  <si>
    <t>Ref 10</t>
  </si>
  <si>
    <t>Ref 11</t>
  </si>
  <si>
    <t>Ref 12</t>
  </si>
  <si>
    <t>Ref 13</t>
  </si>
  <si>
    <t>Ref 14</t>
  </si>
  <si>
    <t>Ref 15</t>
  </si>
  <si>
    <t>Ref 16</t>
  </si>
  <si>
    <t>Ref 17</t>
  </si>
  <si>
    <t>Ref 18</t>
  </si>
  <si>
    <t>Ref 19</t>
  </si>
  <si>
    <t>Ref 20</t>
  </si>
  <si>
    <t>Ref 21</t>
  </si>
  <si>
    <t>Ref 22</t>
  </si>
  <si>
    <t>Ref 23</t>
  </si>
  <si>
    <t>GP → Orthotics</t>
  </si>
  <si>
    <t>Orthotics → Initial Assessment</t>
  </si>
  <si>
    <t>Therapist A</t>
  </si>
  <si>
    <t>Therapist B</t>
  </si>
  <si>
    <t>Therapist c</t>
  </si>
  <si>
    <t>Therapist D</t>
  </si>
  <si>
    <t>Therapist E</t>
  </si>
  <si>
    <t>Therapist C</t>
  </si>
  <si>
    <t>B</t>
  </si>
  <si>
    <t>TherapistB</t>
  </si>
  <si>
    <t>Therapist b</t>
  </si>
  <si>
    <t>TherapistC</t>
  </si>
  <si>
    <t>Therapist a</t>
  </si>
  <si>
    <t>Therapst a</t>
  </si>
  <si>
    <t>Therapist e</t>
  </si>
  <si>
    <t>TherapistD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</si>
</sst>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1" fontId="17" fillId="33" borderId="10" xfId="0" applyNumberFormat="1" applyFont="1" applyFill="1" applyBorder="1" applyAlignment="1">
      <alignment horizontal="center" vertical="center"/>
    </xf>
    <xf numFmtId="1" fontId="0" fillId="34" borderId="11" xfId="0" applyNumberFormat="1" applyFill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0" xfId="0" applyNumberFormat="1"/>
    <xf numFmtId="1" fontId="0" fillId="0" borderId="13" xfId="0" applyNumberFormat="1" applyBorder="1"/>
    <xf numFmtId="0" fontId="0" fillId="0" borderId="13" xfId="0" applyBorder="1"/>
    <xf numFmtId="0" fontId="0" fillId="0" borderId="14" xfId="0" applyBorder="1"/>
    <xf numFmtId="1" fontId="0" fillId="0" borderId="15" xfId="0" applyNumberFormat="1" applyBorder="1"/>
    <xf numFmtId="0" fontId="0" fillId="0" borderId="16" xfId="0" applyBorder="1"/>
    <xf numFmtId="1" fontId="0" fillId="0" borderId="16" xfId="0" applyNumberFormat="1" applyBorder="1"/>
    <xf numFmtId="0" fontId="0" fillId="0" borderId="19" xfId="0" applyBorder="1"/>
    <xf numFmtId="0" fontId="0" fillId="0" borderId="17" xfId="0" applyBorder="1"/>
    <xf numFmtId="0" fontId="17" fillId="33" borderId="20" xfId="0" applyFont="1" applyFill="1" applyBorder="1" applyAlignment="1">
      <alignment horizontal="center" vertical="center"/>
    </xf>
    <xf numFmtId="0" fontId="0" fillId="34" borderId="21" xfId="0" applyFill="1" applyBorder="1"/>
    <xf numFmtId="0" fontId="0" fillId="0" borderId="21" xfId="0" applyBorder="1"/>
    <xf numFmtId="0" fontId="0" fillId="0" borderId="22" xfId="0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8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3" xfId="0" applyBorder="1"/>
    <xf numFmtId="9" fontId="0" fillId="0" borderId="13" xfId="42" applyFont="1" applyBorder="1"/>
    <xf numFmtId="0" fontId="16" fillId="0" borderId="0" xfId="0" applyFont="1"/>
    <xf numFmtId="164" fontId="0" fillId="0" borderId="0" xfId="0" applyNumberFormat="1"/>
    <xf numFmtId="165" fontId="0" fillId="0" borderId="0" xfId="0" applyNumberFormat="1"/>
    <xf numFmtId="0" fontId="19" fillId="0" borderId="0" xfId="0" applyFont="1" applyAlignment="1">
      <alignment vertical="top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1" fillId="0" borderId="13" xfId="0" applyFont="1" applyBorder="1"/>
    <xf numFmtId="0" fontId="0" fillId="0" borderId="0" xfId="0" applyNumberFormat="1"/>
    <xf numFmtId="0" fontId="0" fillId="0" borderId="24" xfId="0" applyBorder="1"/>
    <xf numFmtId="1" fontId="0" fillId="0" borderId="17" xfId="0" applyNumberFormat="1" applyBorder="1"/>
    <xf numFmtId="1" fontId="0" fillId="0" borderId="24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  <dxf>
      <numFmt numFmtId="1" formatCode="0"/>
      <alignment horizontal="right" vertical="bottom" textRotation="0" wrapText="0" indent="0" justifyLastLine="0" shrinkToFit="0" readingOrder="0"/>
    </dxf>
    <dxf>
      <numFmt numFmtId="19" formatCode="dd/mm/yyyy"/>
    </dxf>
    <dxf>
      <numFmt numFmtId="1" formatCode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7CCD7"/>
      <color rgb="FF69B4C5"/>
      <color rgb="FF469EB4"/>
      <color rgb="FF2A89A4"/>
      <color rgb="FF1F6F8B"/>
      <color rgb="FF195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bg2">
                    <a:lumMod val="50000"/>
                  </a:schemeClr>
                </a:solidFill>
              </a:rPr>
              <a:t>Pathway Wait Times | Before vs After Direct Referral</a:t>
            </a:r>
            <a:endParaRPr lang="en-GB" b="1">
              <a:solidFill>
                <a:schemeClr val="bg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42598427642156"/>
          <c:y val="0.13041490857946555"/>
          <c:w val="0.73515317867753449"/>
          <c:h val="0.67663460580085721"/>
        </c:manualLayout>
      </c:layout>
      <c:barChart>
        <c:barDir val="bar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'Deeper  Analysis &amp; Validation'!$B$26:$B$29</c15:sqref>
                  </c15:fullRef>
                </c:ext>
              </c:extLst>
              <c:f>'Deeper  Analysis &amp; Validation'!$B$27:$B$29</c:f>
              <c:strCache>
                <c:ptCount val="3"/>
                <c:pt idx="0">
                  <c:v>GP → Orthotics</c:v>
                </c:pt>
                <c:pt idx="1">
                  <c:v>Orthotics → Initial Assessment</c:v>
                </c:pt>
                <c:pt idx="2">
                  <c:v>Total Pathway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'Deeper  Analysis &amp; Validation'!$C$26:$C$29</c15:sqref>
                  </c15:fullRef>
                </c:ext>
              </c:extLst>
              <c:f>'Deeper  Analysis &amp; Validation'!$C$27:$C$29</c:f>
              <c:numCache>
                <c:formatCode>General</c:formatCode>
                <c:ptCount val="3"/>
                <c:pt idx="0">
                  <c:v>11</c:v>
                </c:pt>
                <c:pt idx="1">
                  <c:v>33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9-4BFB-9371-C1DE2746D9E5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23385249993810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D9-4BFB-9371-C1DE2746D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'Deeper  Analysis &amp; Validation'!$B$26:$B$29</c15:sqref>
                  </c15:fullRef>
                </c:ext>
              </c:extLst>
              <c:f>'Deeper  Analysis &amp; Validation'!$B$27:$B$29</c:f>
              <c:strCache>
                <c:ptCount val="3"/>
                <c:pt idx="0">
                  <c:v>GP → Orthotics</c:v>
                </c:pt>
                <c:pt idx="1">
                  <c:v>Orthotics → Initial Assessment</c:v>
                </c:pt>
                <c:pt idx="2">
                  <c:v>Total Pathway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'Deeper  Analysis &amp; Validation'!$D$26:$D$29</c15:sqref>
                  </c15:fullRef>
                </c:ext>
              </c:extLst>
              <c:f>'Deeper  Analysis &amp; Validation'!$D$27:$D$29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9-4BFB-9371-C1DE2746D9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49744191"/>
        <c:axId val="1176371695"/>
      </c:barChart>
      <c:catAx>
        <c:axId val="124974419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71695"/>
        <c:crosses val="autoZero"/>
        <c:auto val="1"/>
        <c:lblAlgn val="ctr"/>
        <c:lblOffset val="100"/>
        <c:noMultiLvlLbl val="0"/>
      </c:catAx>
      <c:valAx>
        <c:axId val="117637169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4974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885604291562762"/>
          <c:y val="5.3018359787764265E-2"/>
          <c:w val="7.8615552934842112E-2"/>
          <c:h val="9.5986644571648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bg2">
                    <a:lumMod val="50000"/>
                  </a:schemeClr>
                </a:solidFill>
              </a:rPr>
              <a:t>Referral Mix | Orthotic Type</a:t>
            </a:r>
            <a:endParaRPr lang="en-GB" b="1">
              <a:solidFill>
                <a:schemeClr val="bg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9406786686472155"/>
          <c:y val="0.19973730884799873"/>
          <c:w val="0.62567193469081561"/>
          <c:h val="0.7015008746213529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69E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5-4D47-8871-6797E5EA91BB}"/>
              </c:ext>
            </c:extLst>
          </c:dPt>
          <c:dPt>
            <c:idx val="1"/>
            <c:bubble3D val="0"/>
            <c:spPr>
              <a:solidFill>
                <a:srgbClr val="69B4C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5-4D47-8871-6797E5EA91BB}"/>
              </c:ext>
            </c:extLst>
          </c:dPt>
          <c:dPt>
            <c:idx val="2"/>
            <c:bubble3D val="0"/>
            <c:spPr>
              <a:solidFill>
                <a:srgbClr val="1F6F8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B5-4D47-8871-6797E5EA91BB}"/>
              </c:ext>
            </c:extLst>
          </c:dPt>
          <c:dPt>
            <c:idx val="3"/>
            <c:bubble3D val="0"/>
            <c:spPr>
              <a:solidFill>
                <a:srgbClr val="2A89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B5-4D47-8871-6797E5EA91BB}"/>
              </c:ext>
            </c:extLst>
          </c:dPt>
          <c:dPt>
            <c:idx val="4"/>
            <c:bubble3D val="0"/>
            <c:spPr>
              <a:solidFill>
                <a:srgbClr val="97CC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B5-4D47-8871-6797E5EA91BB}"/>
              </c:ext>
            </c:extLst>
          </c:dPt>
          <c:dPt>
            <c:idx val="5"/>
            <c:bubble3D val="0"/>
            <c:spPr>
              <a:solidFill>
                <a:srgbClr val="1956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B5-4D47-8871-6797E5EA91BB}"/>
              </c:ext>
            </c:extLst>
          </c:dPt>
          <c:dLbls>
            <c:dLbl>
              <c:idx val="0"/>
              <c:layout>
                <c:manualLayout>
                  <c:x val="0.11952550477401815"/>
                  <c:y val="-8.90749293893622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5-4D47-8871-6797E5EA91BB}"/>
                </c:ext>
              </c:extLst>
            </c:dLbl>
            <c:dLbl>
              <c:idx val="1"/>
              <c:layout>
                <c:manualLayout>
                  <c:x val="0.19460423400447133"/>
                  <c:y val="-3.33461366717925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5-4D47-8871-6797E5EA91BB}"/>
                </c:ext>
              </c:extLst>
            </c:dLbl>
            <c:dLbl>
              <c:idx val="2"/>
              <c:layout>
                <c:manualLayout>
                  <c:x val="0.14097028762145924"/>
                  <c:y val="0.17884776670198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081554671851149"/>
                      <c:h val="0.14051466716181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2B5-4D47-8871-6797E5EA91BB}"/>
                </c:ext>
              </c:extLst>
            </c:dLbl>
            <c:dLbl>
              <c:idx val="3"/>
              <c:layout>
                <c:manualLayout>
                  <c:x val="-0.16130564861740326"/>
                  <c:y val="8.47015487515387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B5-4D47-8871-6797E5EA91BB}"/>
                </c:ext>
              </c:extLst>
            </c:dLbl>
            <c:dLbl>
              <c:idx val="4"/>
              <c:layout>
                <c:manualLayout>
                  <c:x val="-0.18624789927903476"/>
                  <c:y val="5.20248728601345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B5-4D47-8871-6797E5EA91BB}"/>
                </c:ext>
              </c:extLst>
            </c:dLbl>
            <c:dLbl>
              <c:idx val="5"/>
              <c:layout>
                <c:manualLayout>
                  <c:x val="-0.17514603971755821"/>
                  <c:y val="-9.33200504352004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B5-4D47-8871-6797E5EA91B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'Deeper  Analysis &amp; Validation'!$F$10:$F$15</c:f>
              <c:strCache>
                <c:ptCount val="6"/>
                <c:pt idx="0">
                  <c:v>Footwear</c:v>
                </c:pt>
                <c:pt idx="1">
                  <c:v>Orthotic - Arm</c:v>
                </c:pt>
                <c:pt idx="2">
                  <c:v>Orthotic - Foot</c:v>
                </c:pt>
                <c:pt idx="3">
                  <c:v>Orthotic - Knee</c:v>
                </c:pt>
                <c:pt idx="4">
                  <c:v>Orthotic - Wrist</c:v>
                </c:pt>
                <c:pt idx="5">
                  <c:v>Shoe Raise</c:v>
                </c:pt>
              </c:strCache>
            </c:strRef>
          </c:cat>
          <c:val>
            <c:numRef>
              <c:f>'Deeper  Analysis &amp; Validation'!$G$10:$G$15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12</c:v>
                </c:pt>
                <c:pt idx="3">
                  <c:v>8</c:v>
                </c:pt>
                <c:pt idx="4">
                  <c:v>2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B5-4D47-8871-6797E5EA9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20284</xdr:colOff>
      <xdr:row>4</xdr:row>
      <xdr:rowOff>172236</xdr:rowOff>
    </xdr:from>
    <xdr:to>
      <xdr:col>4</xdr:col>
      <xdr:colOff>364931</xdr:colOff>
      <xdr:row>11</xdr:row>
      <xdr:rowOff>169977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E5FE32-6B43-F290-9BE8-E75B84A4022D}"/>
            </a:ext>
          </a:extLst>
        </xdr:cNvPr>
        <xdr:cNvSpPr/>
      </xdr:nvSpPr>
      <xdr:spPr>
        <a:xfrm>
          <a:off x="625402" y="1135942"/>
          <a:ext cx="2160000" cy="1252800"/>
        </a:xfrm>
        <a:prstGeom prst="rect">
          <a:avLst/>
        </a:prstGeom>
        <a:noFill/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585657</xdr:colOff>
      <xdr:row>4</xdr:row>
      <xdr:rowOff>168426</xdr:rowOff>
    </xdr:from>
    <xdr:to>
      <xdr:col>13</xdr:col>
      <xdr:colOff>328997</xdr:colOff>
      <xdr:row>11</xdr:row>
      <xdr:rowOff>171882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1DC5FE4-EB6C-F1AB-6470-6399C2A37C4E}"/>
            </a:ext>
          </a:extLst>
        </xdr:cNvPr>
        <xdr:cNvSpPr/>
      </xdr:nvSpPr>
      <xdr:spPr>
        <a:xfrm>
          <a:off x="6031716" y="1132132"/>
          <a:ext cx="2163810" cy="1258515"/>
        </a:xfrm>
        <a:prstGeom prst="rect">
          <a:avLst/>
        </a:prstGeom>
        <a:noFill/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268940</xdr:colOff>
      <xdr:row>4</xdr:row>
      <xdr:rowOff>172236</xdr:rowOff>
    </xdr:from>
    <xdr:to>
      <xdr:col>18</xdr:col>
      <xdr:colOff>10374</xdr:colOff>
      <xdr:row>11</xdr:row>
      <xdr:rowOff>169977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474BFB6-0BB2-09B0-6E14-E2ABAEFDAF20}"/>
            </a:ext>
          </a:extLst>
        </xdr:cNvPr>
        <xdr:cNvSpPr/>
      </xdr:nvSpPr>
      <xdr:spPr>
        <a:xfrm>
          <a:off x="8740587" y="1135942"/>
          <a:ext cx="2161905" cy="1252800"/>
        </a:xfrm>
        <a:prstGeom prst="rect">
          <a:avLst/>
        </a:prstGeom>
        <a:noFill/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7396</xdr:colOff>
      <xdr:row>12</xdr:row>
      <xdr:rowOff>173803</xdr:rowOff>
    </xdr:from>
    <xdr:to>
      <xdr:col>11</xdr:col>
      <xdr:colOff>241040</xdr:colOff>
      <xdr:row>33</xdr:row>
      <xdr:rowOff>20507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B0B9DF-0C0C-4F35-834A-BAEF4ED4F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524771</xdr:colOff>
      <xdr:row>32</xdr:row>
      <xdr:rowOff>169993</xdr:rowOff>
    </xdr:from>
    <xdr:to>
      <xdr:col>10</xdr:col>
      <xdr:colOff>268942</xdr:colOff>
      <xdr:row>41</xdr:row>
      <xdr:rowOff>108249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2873F48-1AF7-8479-7655-8D6D1EDEE7D7}"/>
            </a:ext>
          </a:extLst>
        </xdr:cNvPr>
        <xdr:cNvSpPr/>
      </xdr:nvSpPr>
      <xdr:spPr>
        <a:xfrm>
          <a:off x="524771" y="6153934"/>
          <a:ext cx="5795347" cy="155190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472777</xdr:colOff>
      <xdr:row>30</xdr:row>
      <xdr:rowOff>164499</xdr:rowOff>
    </xdr:from>
    <xdr:to>
      <xdr:col>10</xdr:col>
      <xdr:colOff>78442</xdr:colOff>
      <xdr:row>38</xdr:row>
      <xdr:rowOff>44821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58CB24F-1490-2479-B454-0079F1CBBC79}"/>
            </a:ext>
          </a:extLst>
        </xdr:cNvPr>
        <xdr:cNvSpPr txBox="1"/>
      </xdr:nvSpPr>
      <xdr:spPr>
        <a:xfrm>
          <a:off x="1077895" y="5789852"/>
          <a:ext cx="5051723" cy="1314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chemeClr val="bg2">
                  <a:lumMod val="50000"/>
                </a:schemeClr>
              </a:solidFill>
              <a:latin typeface="+mn-lt"/>
            </a:rPr>
            <a:t>Pathway Variation</a:t>
          </a:r>
        </a:p>
        <a:p>
          <a:br>
            <a:rPr lang="en-GB">
              <a:latin typeface="+mn-lt"/>
            </a:rPr>
          </a:br>
          <a:r>
            <a:rPr lang="en-GB" b="1">
              <a:latin typeface="+mn-lt"/>
            </a:rPr>
            <a:t>2024</a:t>
          </a:r>
          <a:r>
            <a:rPr lang="en-GB" b="1" baseline="0">
              <a:latin typeface="+mn-lt"/>
            </a:rPr>
            <a:t>                   </a:t>
          </a:r>
          <a:r>
            <a:rPr lang="en-GB" b="1" baseline="0">
              <a:solidFill>
                <a:schemeClr val="bg2">
                  <a:lumMod val="50000"/>
                </a:schemeClr>
              </a:solidFill>
              <a:latin typeface="+mn-lt"/>
            </a:rPr>
            <a:t> </a:t>
          </a:r>
          <a:r>
            <a:rPr lang="en-GB" b="1">
              <a:solidFill>
                <a:schemeClr val="bg2">
                  <a:lumMod val="50000"/>
                </a:schemeClr>
              </a:solidFill>
              <a:latin typeface="+mn-lt"/>
            </a:rPr>
            <a:t>26             </a:t>
          </a:r>
          <a:r>
            <a:rPr lang="en-GB" b="1">
              <a:latin typeface="+mn-lt"/>
            </a:rPr>
            <a:t>			</a:t>
          </a:r>
          <a:r>
            <a:rPr lang="en-GB" b="1" baseline="0">
              <a:latin typeface="+mn-lt"/>
            </a:rPr>
            <a:t>                       </a:t>
          </a:r>
          <a:r>
            <a:rPr lang="en-GB" b="1">
              <a:solidFill>
                <a:schemeClr val="bg2">
                  <a:lumMod val="50000"/>
                </a:schemeClr>
              </a:solidFill>
              <a:latin typeface="+mn-lt"/>
            </a:rPr>
            <a:t>50 days</a:t>
          </a:r>
        </a:p>
        <a:p>
          <a:endParaRPr lang="en-GB" b="1">
            <a:solidFill>
              <a:schemeClr val="bg2">
                <a:lumMod val="50000"/>
              </a:schemeClr>
            </a:solidFill>
            <a:latin typeface="+mn-lt"/>
          </a:endParaRPr>
        </a:p>
        <a:p>
          <a:br>
            <a:rPr lang="en-GB">
              <a:latin typeface="+mn-lt"/>
            </a:rPr>
          </a:br>
          <a:r>
            <a:rPr lang="en-GB" b="1">
              <a:latin typeface="+mn-lt"/>
            </a:rPr>
            <a:t>2025  </a:t>
          </a:r>
          <a:r>
            <a:rPr lang="en-GB" b="1" baseline="0">
              <a:latin typeface="+mn-lt"/>
            </a:rPr>
            <a:t>                     </a:t>
          </a:r>
          <a:r>
            <a:rPr lang="en-GB" b="1">
              <a:solidFill>
                <a:schemeClr val="bg2">
                  <a:lumMod val="50000"/>
                </a:schemeClr>
              </a:solidFill>
              <a:latin typeface="+mn-lt"/>
            </a:rPr>
            <a:t>28</a:t>
          </a:r>
          <a:r>
            <a:rPr lang="en-GB" b="1">
              <a:latin typeface="+mn-lt"/>
            </a:rPr>
            <a:t>		 </a:t>
          </a:r>
          <a:r>
            <a:rPr lang="en-GB" b="1">
              <a:solidFill>
                <a:schemeClr val="bg2">
                  <a:lumMod val="50000"/>
                </a:schemeClr>
              </a:solidFill>
              <a:latin typeface="+mn-lt"/>
            </a:rPr>
            <a:t>40 days</a:t>
          </a:r>
          <a:endParaRPr lang="en-GB" sz="1100">
            <a:solidFill>
              <a:schemeClr val="bg2">
                <a:lumMod val="50000"/>
              </a:schemeClr>
            </a:solidFill>
            <a:latin typeface="+mn-lt"/>
          </a:endParaRPr>
        </a:p>
      </xdr:txBody>
    </xdr:sp>
    <xdr:clientData/>
  </xdr:twoCellAnchor>
  <xdr:twoCellAnchor>
    <xdr:from>
      <xdr:col>5</xdr:col>
      <xdr:colOff>301066</xdr:colOff>
      <xdr:row>4</xdr:row>
      <xdr:rowOff>168426</xdr:rowOff>
    </xdr:from>
    <xdr:to>
      <xdr:col>9</xdr:col>
      <xdr:colOff>40595</xdr:colOff>
      <xdr:row>11</xdr:row>
      <xdr:rowOff>173787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13FE487-75D5-ADE3-EFDA-A0BC7CD93EBA}"/>
            </a:ext>
          </a:extLst>
        </xdr:cNvPr>
        <xdr:cNvSpPr/>
      </xdr:nvSpPr>
      <xdr:spPr>
        <a:xfrm>
          <a:off x="3326654" y="1132132"/>
          <a:ext cx="2160000" cy="1260420"/>
        </a:xfrm>
        <a:prstGeom prst="rect">
          <a:avLst/>
        </a:prstGeom>
        <a:noFill/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378873</xdr:colOff>
      <xdr:row>7</xdr:row>
      <xdr:rowOff>56032</xdr:rowOff>
    </xdr:from>
    <xdr:to>
      <xdr:col>3</xdr:col>
      <xdr:colOff>412266</xdr:colOff>
      <xdr:row>9</xdr:row>
      <xdr:rowOff>98503</xdr:rowOff>
    </xdr:to>
    <xdr:sp macro="" textlink="'Deeper  Analysis &amp; Validation'!C36">
      <xdr:nvSpPr>
        <xdr:cNvPr id="7" name="Rectangle: Rounded Corners 6">
          <a:extLst>
            <a:ext uri="{FF2B5EF4-FFF2-40B4-BE49-F238E27FC236}">
              <a16:creationId xmlns:a16="http://schemas.microsoft.com/office/drawing/2014/main" id="{935917A5-F458-4885-9CEC-90341B458C53}"/>
            </a:ext>
          </a:extLst>
        </xdr:cNvPr>
        <xdr:cNvSpPr/>
      </xdr:nvSpPr>
      <xdr:spPr>
        <a:xfrm>
          <a:off x="983991" y="1557620"/>
          <a:ext cx="1243628" cy="401059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6668699-225F-401D-85DB-929E030A4CBF}" type="TxLink">
            <a:rPr lang="en-US" sz="2400" b="1" i="0" u="none" strike="noStrike">
              <a:ln>
                <a:noFill/>
              </a:ln>
              <a:solidFill>
                <a:sysClr val="windowText" lastClr="000000"/>
              </a:solidFill>
              <a:latin typeface="Aptos" panose="020B0004020202020204" pitchFamily="34" charset="0"/>
            </a:rPr>
            <a:pPr algn="ctr"/>
            <a:t>43 → 35</a:t>
          </a:fld>
          <a:endParaRPr lang="en-US" sz="2400" b="1" i="0" u="none" strike="noStrike">
            <a:ln>
              <a:noFill/>
            </a:ln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ctr"/>
          <a:endParaRPr lang="en-US" sz="2400" b="1">
            <a:ln>
              <a:noFill/>
            </a:ln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</xdr:col>
      <xdr:colOff>496424</xdr:colOff>
      <xdr:row>10</xdr:row>
      <xdr:rowOff>15859</xdr:rowOff>
    </xdr:from>
    <xdr:to>
      <xdr:col>3</xdr:col>
      <xdr:colOff>356687</xdr:colOff>
      <xdr:row>10</xdr:row>
      <xdr:rowOff>172515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4DB1C-CB6C-4FAB-B71A-17FFC5684BDC}"/>
            </a:ext>
          </a:extLst>
        </xdr:cNvPr>
        <xdr:cNvSpPr txBox="1"/>
      </xdr:nvSpPr>
      <xdr:spPr>
        <a:xfrm>
          <a:off x="1101542" y="2055330"/>
          <a:ext cx="1070498" cy="156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ln>
                <a:noFill/>
              </a:ln>
              <a:solidFill>
                <a:sysClr val="windowText" lastClr="000000"/>
              </a:solidFill>
              <a:latin typeface="Aptos" panose="020B0004020202020204" pitchFamily="34" charset="0"/>
            </a:rPr>
            <a:t>working days</a:t>
          </a:r>
        </a:p>
      </xdr:txBody>
    </xdr:sp>
    <xdr:clientData/>
  </xdr:twoCellAnchor>
  <xdr:twoCellAnchor>
    <xdr:from>
      <xdr:col>1</xdr:col>
      <xdr:colOff>113740</xdr:colOff>
      <xdr:row>5</xdr:row>
      <xdr:rowOff>92785</xdr:rowOff>
    </xdr:from>
    <xdr:to>
      <xdr:col>4</xdr:col>
      <xdr:colOff>229247</xdr:colOff>
      <xdr:row>7</xdr:row>
      <xdr:rowOff>60766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46343A6-E3DD-43CC-9CB1-18FAB2483E99}"/>
            </a:ext>
          </a:extLst>
        </xdr:cNvPr>
        <xdr:cNvSpPr/>
      </xdr:nvSpPr>
      <xdr:spPr>
        <a:xfrm>
          <a:off x="718858" y="1235785"/>
          <a:ext cx="1930860" cy="326569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solidFill>
                <a:sysClr val="windowText" lastClr="000000"/>
              </a:solidFill>
              <a:latin typeface="Aptos" panose="020B0004020202020204" pitchFamily="34" charset="0"/>
            </a:rPr>
            <a:t>Average</a:t>
          </a:r>
          <a:r>
            <a:rPr lang="en-GB" sz="1600" b="1" baseline="0">
              <a:solidFill>
                <a:sysClr val="windowText" lastClr="000000"/>
              </a:solidFill>
              <a:latin typeface="Aptos" panose="020B0004020202020204" pitchFamily="34" charset="0"/>
            </a:rPr>
            <a:t> Pathway</a:t>
          </a:r>
        </a:p>
      </xdr:txBody>
    </xdr:sp>
    <xdr:clientData/>
  </xdr:twoCellAnchor>
  <xdr:twoCellAnchor>
    <xdr:from>
      <xdr:col>5</xdr:col>
      <xdr:colOff>417008</xdr:colOff>
      <xdr:row>5</xdr:row>
      <xdr:rowOff>92561</xdr:rowOff>
    </xdr:from>
    <xdr:to>
      <xdr:col>8</xdr:col>
      <xdr:colOff>588881</xdr:colOff>
      <xdr:row>7</xdr:row>
      <xdr:rowOff>76538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C418E9B-D8E1-C160-0FC0-DA89D769FDCA}"/>
            </a:ext>
          </a:extLst>
        </xdr:cNvPr>
        <xdr:cNvSpPr/>
      </xdr:nvSpPr>
      <xdr:spPr>
        <a:xfrm>
          <a:off x="3442596" y="1235561"/>
          <a:ext cx="1987226" cy="342565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 baseline="0">
              <a:solidFill>
                <a:sysClr val="windowText" lastClr="000000"/>
              </a:solidFill>
              <a:latin typeface="Aptos" panose="020B0004020202020204" pitchFamily="34" charset="0"/>
            </a:rPr>
            <a:t>Pathway Reduction</a:t>
          </a:r>
        </a:p>
      </xdr:txBody>
    </xdr:sp>
    <xdr:clientData/>
  </xdr:twoCellAnchor>
  <xdr:twoCellAnchor>
    <xdr:from>
      <xdr:col>5</xdr:col>
      <xdr:colOff>498403</xdr:colOff>
      <xdr:row>9</xdr:row>
      <xdr:rowOff>19614</xdr:rowOff>
    </xdr:from>
    <xdr:to>
      <xdr:col>8</xdr:col>
      <xdr:colOff>436659</xdr:colOff>
      <xdr:row>11</xdr:row>
      <xdr:rowOff>158788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69190ED-394D-AB8A-0C2E-F11753A1BA63}"/>
            </a:ext>
          </a:extLst>
        </xdr:cNvPr>
        <xdr:cNvSpPr txBox="1"/>
      </xdr:nvSpPr>
      <xdr:spPr>
        <a:xfrm>
          <a:off x="3523991" y="1879790"/>
          <a:ext cx="1753609" cy="497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b="1">
              <a:latin typeface="Aptos" panose="020B0004020202020204" pitchFamily="34" charset="0"/>
            </a:rPr>
            <a:t>following direct referral</a:t>
          </a:r>
          <a:endParaRPr lang="en-GB" sz="1100" b="1">
            <a:ln>
              <a:noFill/>
            </a:ln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6</xdr:col>
      <xdr:colOff>22214</xdr:colOff>
      <xdr:row>7</xdr:row>
      <xdr:rowOff>43143</xdr:rowOff>
    </xdr:from>
    <xdr:to>
      <xdr:col>8</xdr:col>
      <xdr:colOff>210286</xdr:colOff>
      <xdr:row>9</xdr:row>
      <xdr:rowOff>97045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BE812B1-6DA0-4BC0-8680-49757AD4DE29}"/>
            </a:ext>
          </a:extLst>
        </xdr:cNvPr>
        <xdr:cNvSpPr/>
      </xdr:nvSpPr>
      <xdr:spPr>
        <a:xfrm>
          <a:off x="3652920" y="1544731"/>
          <a:ext cx="1398307" cy="412490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400" b="1">
              <a:solidFill>
                <a:sysClr val="windowText" lastClr="000000"/>
              </a:solidFill>
              <a:latin typeface="+mn-lt"/>
            </a:rPr>
            <a:t>↓ 17.6% </a:t>
          </a:r>
        </a:p>
      </xdr:txBody>
    </xdr:sp>
    <xdr:clientData/>
  </xdr:twoCellAnchor>
  <xdr:twoCellAnchor>
    <xdr:from>
      <xdr:col>10</xdr:col>
      <xdr:colOff>94765</xdr:colOff>
      <xdr:row>5</xdr:row>
      <xdr:rowOff>103991</xdr:rowOff>
    </xdr:from>
    <xdr:to>
      <xdr:col>13</xdr:col>
      <xdr:colOff>210272</xdr:colOff>
      <xdr:row>7</xdr:row>
      <xdr:rowOff>77687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B6FE467-1EC0-DF68-2A25-994B2B377E50}"/>
            </a:ext>
          </a:extLst>
        </xdr:cNvPr>
        <xdr:cNvSpPr/>
      </xdr:nvSpPr>
      <xdr:spPr>
        <a:xfrm>
          <a:off x="6145941" y="1246991"/>
          <a:ext cx="1930860" cy="332284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solidFill>
                <a:sysClr val="windowText" lastClr="000000"/>
              </a:solidFill>
              <a:latin typeface="Aptos" panose="020B0004020202020204" pitchFamily="34" charset="0"/>
            </a:rPr>
            <a:t>GP Referral Delay</a:t>
          </a:r>
          <a:endParaRPr lang="en-GB" sz="1600" b="1" baseline="0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14</xdr:col>
      <xdr:colOff>420443</xdr:colOff>
      <xdr:row>5</xdr:row>
      <xdr:rowOff>103992</xdr:rowOff>
    </xdr:from>
    <xdr:to>
      <xdr:col>17</xdr:col>
      <xdr:colOff>532140</xdr:colOff>
      <xdr:row>7</xdr:row>
      <xdr:rowOff>75461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15D2E32-F41E-EF26-0AA0-EFE1E1F55DB8}"/>
            </a:ext>
          </a:extLst>
        </xdr:cNvPr>
        <xdr:cNvSpPr/>
      </xdr:nvSpPr>
      <xdr:spPr>
        <a:xfrm>
          <a:off x="8892090" y="1246992"/>
          <a:ext cx="1927050" cy="330057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solidFill>
                <a:sysClr val="windowText" lastClr="000000"/>
              </a:solidFill>
              <a:latin typeface="Aptos" panose="020B0004020202020204" pitchFamily="34" charset="0"/>
            </a:rPr>
            <a:t>Referrals Rejected</a:t>
          </a:r>
          <a:endParaRPr lang="en-GB" sz="1600" b="1" baseline="0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14</xdr:col>
      <xdr:colOff>581248</xdr:colOff>
      <xdr:row>9</xdr:row>
      <xdr:rowOff>117834</xdr:rowOff>
    </xdr:from>
    <xdr:to>
      <xdr:col>17</xdr:col>
      <xdr:colOff>380775</xdr:colOff>
      <xdr:row>11</xdr:row>
      <xdr:rowOff>40062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09EB280-FE23-65F1-567A-34B03419FC49}"/>
            </a:ext>
          </a:extLst>
        </xdr:cNvPr>
        <xdr:cNvSpPr txBox="1"/>
      </xdr:nvSpPr>
      <xdr:spPr>
        <a:xfrm>
          <a:off x="8884807" y="1978010"/>
          <a:ext cx="1614880" cy="280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b="1">
              <a:latin typeface="Aptos" panose="020B0004020202020204" pitchFamily="34" charset="0"/>
            </a:rPr>
            <a:t>43 referrals assessed</a:t>
          </a:r>
          <a:endParaRPr lang="en-GB" sz="1100" b="1">
            <a:ln>
              <a:noFill/>
            </a:ln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10</xdr:col>
      <xdr:colOff>358291</xdr:colOff>
      <xdr:row>9</xdr:row>
      <xdr:rowOff>136995</xdr:rowOff>
    </xdr:from>
    <xdr:to>
      <xdr:col>12</xdr:col>
      <xdr:colOff>440766</xdr:colOff>
      <xdr:row>11</xdr:row>
      <xdr:rowOff>19443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0477097-25E8-FC3B-99FF-4C9C443E3F67}"/>
            </a:ext>
          </a:extLst>
        </xdr:cNvPr>
        <xdr:cNvSpPr txBox="1"/>
      </xdr:nvSpPr>
      <xdr:spPr>
        <a:xfrm>
          <a:off x="6241379" y="1997171"/>
          <a:ext cx="1292711" cy="241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ln>
                <a:noFill/>
              </a:ln>
              <a:solidFill>
                <a:sysClr val="windowText" lastClr="000000"/>
              </a:solidFill>
              <a:latin typeface="Aptos" panose="020B0004020202020204" pitchFamily="34" charset="0"/>
            </a:rPr>
            <a:t>working days</a:t>
          </a:r>
        </a:p>
      </xdr:txBody>
    </xdr:sp>
    <xdr:clientData/>
  </xdr:twoCellAnchor>
  <xdr:twoCellAnchor>
    <xdr:from>
      <xdr:col>9</xdr:col>
      <xdr:colOff>581811</xdr:colOff>
      <xdr:row>1</xdr:row>
      <xdr:rowOff>318583</xdr:rowOff>
    </xdr:from>
    <xdr:to>
      <xdr:col>13</xdr:col>
      <xdr:colOff>31714</xdr:colOff>
      <xdr:row>4</xdr:row>
      <xdr:rowOff>3137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5FDCC85-94B2-D5D5-6A04-B8CF515F5FA7}"/>
            </a:ext>
          </a:extLst>
        </xdr:cNvPr>
        <xdr:cNvSpPr/>
      </xdr:nvSpPr>
      <xdr:spPr>
        <a:xfrm>
          <a:off x="6027870" y="497877"/>
          <a:ext cx="1870373" cy="468966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2400" b="1" i="0" u="none" strike="noStrike">
            <a:ln>
              <a:noFill/>
            </a:ln>
            <a:solidFill>
              <a:sysClr val="windowText" lastClr="000000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15</xdr:col>
      <xdr:colOff>353320</xdr:colOff>
      <xdr:row>6</xdr:row>
      <xdr:rowOff>119008</xdr:rowOff>
    </xdr:from>
    <xdr:to>
      <xdr:col>16</xdr:col>
      <xdr:colOff>467509</xdr:colOff>
      <xdr:row>9</xdr:row>
      <xdr:rowOff>169995</xdr:rowOff>
    </xdr:to>
    <xdr:sp macro="" textlink="'Deeper  Analysis &amp; Validation'!C24">
      <xdr:nvSpPr>
        <xdr:cNvPr id="22" name="Rectangle: Rounded Corners 21">
          <a:extLst>
            <a:ext uri="{FF2B5EF4-FFF2-40B4-BE49-F238E27FC236}">
              <a16:creationId xmlns:a16="http://schemas.microsoft.com/office/drawing/2014/main" id="{9A410643-01E4-49A3-BF67-26ABB6D711B5}"/>
            </a:ext>
          </a:extLst>
        </xdr:cNvPr>
        <xdr:cNvSpPr/>
      </xdr:nvSpPr>
      <xdr:spPr>
        <a:xfrm>
          <a:off x="9261996" y="1441302"/>
          <a:ext cx="719307" cy="588869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25F77EE-C14A-47A2-99A0-0DCD5EE11F27}" type="TxLink">
            <a:rPr lang="en-US" sz="3600" b="1" i="0" u="none" strike="noStrike">
              <a:ln>
                <a:noFill/>
              </a:ln>
              <a:solidFill>
                <a:sysClr val="windowText" lastClr="000000"/>
              </a:solidFill>
              <a:latin typeface="+mn-lt"/>
            </a:rPr>
            <a:pPr algn="ctr"/>
            <a:t>0</a:t>
          </a:fld>
          <a:endParaRPr lang="en-US" sz="3600" b="1" i="0" u="none" strike="noStrike">
            <a:ln>
              <a:noFill/>
            </a:ln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11</xdr:col>
      <xdr:colOff>171899</xdr:colOff>
      <xdr:row>12</xdr:row>
      <xdr:rowOff>132564</xdr:rowOff>
    </xdr:from>
    <xdr:to>
      <xdr:col>17</xdr:col>
      <xdr:colOff>560295</xdr:colOff>
      <xdr:row>31</xdr:row>
      <xdr:rowOff>5491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D6D3536-01A3-45B6-A11F-82D065743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158788</xdr:colOff>
      <xdr:row>32</xdr:row>
      <xdr:rowOff>130885</xdr:rowOff>
    </xdr:from>
    <xdr:to>
      <xdr:col>18</xdr:col>
      <xdr:colOff>119679</xdr:colOff>
      <xdr:row>38</xdr:row>
      <xdr:rowOff>69140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7287651-1ED5-0572-CA1E-5AC745EC969C}"/>
            </a:ext>
          </a:extLst>
        </xdr:cNvPr>
        <xdr:cNvSpPr/>
      </xdr:nvSpPr>
      <xdr:spPr>
        <a:xfrm>
          <a:off x="6815082" y="6114826"/>
          <a:ext cx="4196715" cy="101402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328558</xdr:colOff>
      <xdr:row>33</xdr:row>
      <xdr:rowOff>31714</xdr:rowOff>
    </xdr:from>
    <xdr:to>
      <xdr:col>18</xdr:col>
      <xdr:colOff>234877</xdr:colOff>
      <xdr:row>37</xdr:row>
      <xdr:rowOff>67236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9699E-E8B4-C77A-E59E-9C66C47E4877}"/>
            </a:ext>
          </a:extLst>
        </xdr:cNvPr>
        <xdr:cNvSpPr txBox="1"/>
      </xdr:nvSpPr>
      <xdr:spPr>
        <a:xfrm>
          <a:off x="6984852" y="6194949"/>
          <a:ext cx="4142143" cy="752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 b="1">
              <a:solidFill>
                <a:schemeClr val="bg2">
                  <a:lumMod val="50000"/>
                </a:schemeClr>
              </a:solidFill>
            </a:rPr>
            <a:t>STOCKHOLDING NOT SUPPORTED</a:t>
          </a:r>
        </a:p>
        <a:p>
          <a:r>
            <a:rPr lang="en-GB" sz="1100">
              <a:solidFill>
                <a:schemeClr val="bg2">
                  <a:lumMod val="50000"/>
                </a:schemeClr>
              </a:solidFill>
            </a:rPr>
            <a:t>Limited demand for items suitable for local stockholding</a:t>
          </a:r>
        </a:p>
        <a:p>
          <a:r>
            <a:rPr lang="en-GB" sz="1000">
              <a:solidFill>
                <a:schemeClr val="bg2">
                  <a:lumMod val="50000"/>
                </a:schemeClr>
              </a:solidFill>
            </a:rPr>
            <a:t>Cost, stock control and logistics would outweigh the likely benefit</a:t>
          </a:r>
        </a:p>
      </xdr:txBody>
    </xdr:sp>
    <xdr:clientData/>
  </xdr:twoCellAnchor>
  <xdr:twoCellAnchor>
    <xdr:from>
      <xdr:col>3</xdr:col>
      <xdr:colOff>363407</xdr:colOff>
      <xdr:row>33</xdr:row>
      <xdr:rowOff>59836</xdr:rowOff>
    </xdr:from>
    <xdr:to>
      <xdr:col>8</xdr:col>
      <xdr:colOff>517601</xdr:colOff>
      <xdr:row>34</xdr:row>
      <xdr:rowOff>134447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CFA2A79-D5AC-9A3F-7DFA-756EAF036D20}"/>
            </a:ext>
          </a:extLst>
        </xdr:cNvPr>
        <xdr:cNvSpPr/>
      </xdr:nvSpPr>
      <xdr:spPr>
        <a:xfrm>
          <a:off x="2178760" y="6223071"/>
          <a:ext cx="3179782" cy="25390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439047</xdr:colOff>
      <xdr:row>36</xdr:row>
      <xdr:rowOff>24314</xdr:rowOff>
    </xdr:from>
    <xdr:to>
      <xdr:col>6</xdr:col>
      <xdr:colOff>244849</xdr:colOff>
      <xdr:row>37</xdr:row>
      <xdr:rowOff>87495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696BAB54-B4C3-D609-22DD-5A0085168E3C}"/>
            </a:ext>
          </a:extLst>
        </xdr:cNvPr>
        <xdr:cNvSpPr/>
      </xdr:nvSpPr>
      <xdr:spPr>
        <a:xfrm>
          <a:off x="2254400" y="6725432"/>
          <a:ext cx="1621155" cy="24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17482</xdr:colOff>
      <xdr:row>30</xdr:row>
      <xdr:rowOff>22410</xdr:rowOff>
    </xdr:from>
    <xdr:to>
      <xdr:col>11</xdr:col>
      <xdr:colOff>16920</xdr:colOff>
      <xdr:row>40</xdr:row>
      <xdr:rowOff>162595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A5E369F-6566-0A2B-9CD9-99E0C28ACE3A}"/>
            </a:ext>
          </a:extLst>
        </xdr:cNvPr>
        <xdr:cNvSpPr/>
      </xdr:nvSpPr>
      <xdr:spPr>
        <a:xfrm>
          <a:off x="622600" y="5647763"/>
          <a:ext cx="6050614" cy="1933126"/>
        </a:xfrm>
        <a:prstGeom prst="rect">
          <a:avLst/>
        </a:prstGeom>
        <a:noFill/>
        <a:ln w="3175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441827</xdr:colOff>
      <xdr:row>7</xdr:row>
      <xdr:rowOff>48859</xdr:rowOff>
    </xdr:from>
    <xdr:to>
      <xdr:col>12</xdr:col>
      <xdr:colOff>365289</xdr:colOff>
      <xdr:row>9</xdr:row>
      <xdr:rowOff>145902</xdr:rowOff>
    </xdr:to>
    <xdr:sp macro="" textlink="'Deeper  Analysis &amp; Validation'!C37">
      <xdr:nvSpPr>
        <xdr:cNvPr id="18" name="Rectangle: Rounded Corners 17">
          <a:extLst>
            <a:ext uri="{FF2B5EF4-FFF2-40B4-BE49-F238E27FC236}">
              <a16:creationId xmlns:a16="http://schemas.microsoft.com/office/drawing/2014/main" id="{949492A3-FAF2-4254-AF05-C5425A33B6D8}"/>
            </a:ext>
          </a:extLst>
        </xdr:cNvPr>
        <xdr:cNvSpPr/>
      </xdr:nvSpPr>
      <xdr:spPr>
        <a:xfrm>
          <a:off x="6493003" y="1550447"/>
          <a:ext cx="1133698" cy="455631"/>
        </a:xfrm>
        <a:prstGeom prst="roundRect">
          <a:avLst>
            <a:gd name="adj" fmla="val 67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75E728A-B009-48BB-9F50-4FCD76B3CD8F}" type="TxLink">
            <a:rPr lang="en-US" sz="2400" b="1" i="0" u="none" strike="noStrike">
              <a:ln>
                <a:noFill/>
              </a:ln>
              <a:solidFill>
                <a:sysClr val="windowText" lastClr="000000"/>
              </a:solidFill>
              <a:latin typeface="+mn-lt"/>
            </a:rPr>
            <a:pPr algn="ctr"/>
            <a:t>11 → 0</a:t>
          </a:fld>
          <a:endParaRPr lang="en-US" sz="6000" b="1" i="0" u="none" strike="noStrike">
            <a:ln>
              <a:noFill/>
            </a:ln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</xdr:col>
      <xdr:colOff>194309</xdr:colOff>
      <xdr:row>38</xdr:row>
      <xdr:rowOff>98945</xdr:rowOff>
    </xdr:from>
    <xdr:to>
      <xdr:col>8</xdr:col>
      <xdr:colOff>156882</xdr:colOff>
      <xdr:row>40</xdr:row>
      <xdr:rowOff>39329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400F1E-F7CA-EBD0-D2D8-5E29112584AB}"/>
            </a:ext>
          </a:extLst>
        </xdr:cNvPr>
        <xdr:cNvSpPr txBox="1"/>
      </xdr:nvSpPr>
      <xdr:spPr>
        <a:xfrm>
          <a:off x="2614780" y="7158651"/>
          <a:ext cx="2383043" cy="298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n>
                <a:solidFill>
                  <a:schemeClr val="bg2">
                    <a:lumMod val="50000"/>
                  </a:schemeClr>
                </a:solidFill>
              </a:ln>
              <a:solidFill>
                <a:schemeClr val="bg2">
                  <a:lumMod val="50000"/>
                </a:schemeClr>
              </a:solidFill>
              <a:latin typeface="+mn-lt"/>
            </a:rPr>
            <a:t>Observed range </a:t>
          </a:r>
          <a:r>
            <a:rPr lang="en-GB" sz="1100" b="0">
              <a:ln>
                <a:solidFill>
                  <a:schemeClr val="bg2">
                    <a:lumMod val="50000"/>
                  </a:schemeClr>
                </a:solidFill>
              </a:ln>
              <a:solidFill>
                <a:schemeClr val="bg2">
                  <a:lumMod val="50000"/>
                </a:schemeClr>
              </a:solidFill>
              <a:latin typeface="+mn-lt"/>
            </a:rPr>
            <a:t>narrowed</a:t>
          </a:r>
          <a:r>
            <a:rPr lang="en-GB" sz="1100" b="1">
              <a:ln>
                <a:solidFill>
                  <a:schemeClr val="bg2">
                    <a:lumMod val="50000"/>
                  </a:schemeClr>
                </a:solidFill>
              </a:ln>
              <a:solidFill>
                <a:schemeClr val="bg2">
                  <a:lumMod val="50000"/>
                </a:schemeClr>
              </a:solidFill>
              <a:latin typeface="+mn-lt"/>
            </a:rPr>
            <a:t> by 50%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Riley" refreshedDate="46287.483252199076" createdVersion="8" refreshedVersion="8" minRefreshableVersion="3" recordCount="43" xr:uid="{65670502-87B8-40D8-B09C-A366EEF80EDC}">
  <cacheSource type="worksheet">
    <worksheetSource name="Table1"/>
  </cacheSource>
  <cacheFields count="17">
    <cacheField name="Referral number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NHS Number" numFmtId="0">
      <sharedItems/>
    </cacheField>
    <cacheField name="Patient Initials" numFmtId="0">
      <sharedItems/>
    </cacheField>
    <cacheField name="Class Code" numFmtId="1">
      <sharedItems containsSemiMixedTypes="0" containsString="0" containsNumber="1" containsInteger="1" minValue="2" maxValue="8"/>
    </cacheField>
    <cacheField name="Class" numFmtId="0">
      <sharedItems count="6">
        <s v="Orthotic - Foot"/>
        <s v="Shoe Raise"/>
        <s v="Orthotic - Knee"/>
        <s v="Footwear"/>
        <s v="Orthotic - Arm"/>
        <s v="Orthotic - Wrist"/>
      </sharedItems>
    </cacheField>
    <cacheField name="Problem" numFmtId="0">
      <sharedItems/>
    </cacheField>
    <cacheField name="Reason for referral" numFmtId="0">
      <sharedItems count="5">
        <s v="Weakness/Instability"/>
        <s v="Leg length Descrepancy"/>
        <s v="Osteoarthritis"/>
        <s v="Pain"/>
        <s v="Leg length discrepancy"/>
      </sharedItems>
    </cacheField>
    <cacheField name="Referring Therapist" numFmtId="0">
      <sharedItems count="10">
        <s v="Therapist A"/>
        <s v="Therapist B"/>
        <s v="Therapist c"/>
        <s v="Therapist E"/>
        <s v="Therapist D"/>
        <s v="Marc Riley" u="1"/>
        <s v="Rachel Wilkinson" u="1"/>
        <s v="Stephanie Miles" u="1"/>
        <s v="Dylan Devlin" u="1"/>
        <s v="Olivia Davies" u="1"/>
      </sharedItems>
    </cacheField>
    <cacheField name="Request  sent " numFmtId="14">
      <sharedItems containsSemiMixedTypes="0" containsNonDate="0" containsDate="1" containsString="0" minDate="2024-06-03T00:00:00" maxDate="2025-08-26T00:00:00"/>
    </cacheField>
    <cacheField name="Interval GP/Orthotics WD" numFmtId="1">
      <sharedItems containsSemiMixedTypes="0" containsString="0" containsNumber="1" containsInteger="1" minValue="0" maxValue="15"/>
    </cacheField>
    <cacheField name="Orthoticsc reciept" numFmtId="14">
      <sharedItems containsSemiMixedTypes="0" containsNonDate="0" containsDate="1" containsString="0" minDate="2024-06-12T00:00:00" maxDate="2025-08-26T00:00:00"/>
    </cacheField>
    <cacheField name="Interval Orthotics to Initial assessment WD" numFmtId="1">
      <sharedItems containsSemiMixedTypes="0" containsString="0" containsNumber="1" containsInteger="1" minValue="26" maxValue="40"/>
    </cacheField>
    <cacheField name="Initial assessment date Date" numFmtId="14">
      <sharedItems containsSemiMixedTypes="0" containsNonDate="0" containsDate="1" containsString="0" minDate="2024-07-20T00:00:00" maxDate="2025-10-05T00:00:00"/>
    </cacheField>
    <cacheField name="Total Pathway WD" numFmtId="1">
      <sharedItems containsSemiMixedTypes="0" containsString="0" containsNumber="1" containsInteger="1" minValue="26" maxValue="50"/>
    </cacheField>
    <cacheField name="Outcome" numFmtId="1">
      <sharedItems count="2">
        <s v="Accepted"/>
        <s v="Rejected" u="1"/>
      </sharedItems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 pivotCacheId="10026991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s v="ANONYMISED"/>
    <s v="ANONYMISED"/>
    <n v="6"/>
    <x v="0"/>
    <s v="Review of AFO"/>
    <x v="0"/>
    <x v="0"/>
    <d v="2024-06-03T00:00:00"/>
    <n v="8"/>
    <d v="2024-06-12T00:00:00"/>
    <n v="33"/>
    <d v="2024-07-28T00:00:00"/>
    <n v="40"/>
    <x v="0"/>
    <s v="ANONYMISED"/>
  </r>
  <r>
    <x v="1"/>
    <x v="0"/>
    <s v="ANONYMISED"/>
    <s v="ANONYMISED"/>
    <n v="8"/>
    <x v="1"/>
    <s v="LLD"/>
    <x v="1"/>
    <x v="0"/>
    <d v="2024-06-05T00:00:00"/>
    <n v="11"/>
    <d v="2024-06-19T00:00:00"/>
    <n v="30"/>
    <d v="2024-07-30T00:00:00"/>
    <n v="40"/>
    <x v="0"/>
    <s v="ANONYMISED"/>
  </r>
  <r>
    <x v="2"/>
    <x v="0"/>
    <s v="ANONYMISED"/>
    <s v="ANONYMISED"/>
    <n v="5"/>
    <x v="2"/>
    <s v="Varus deformity"/>
    <x v="2"/>
    <x v="1"/>
    <d v="2024-06-11T00:00:00"/>
    <n v="11"/>
    <d v="2024-06-25T00:00:00"/>
    <n v="30"/>
    <d v="2024-08-05T00:00:00"/>
    <n v="40"/>
    <x v="0"/>
    <s v="ANONYMISED"/>
  </r>
  <r>
    <x v="3"/>
    <x v="0"/>
    <s v="ANONYMISED"/>
    <s v="ANONYMISED"/>
    <n v="8"/>
    <x v="1"/>
    <s v="LLD"/>
    <x v="1"/>
    <x v="2"/>
    <d v="2024-06-14T00:00:00"/>
    <n v="1"/>
    <d v="2024-06-14T00:00:00"/>
    <n v="26"/>
    <d v="2024-07-20T00:00:00"/>
    <n v="26"/>
    <x v="0"/>
    <s v="ANONYMISED"/>
  </r>
  <r>
    <x v="4"/>
    <x v="0"/>
    <s v="ANONYMISED"/>
    <s v="ANONYMISED"/>
    <n v="5"/>
    <x v="2"/>
    <s v="Varus knee"/>
    <x v="2"/>
    <x v="0"/>
    <d v="2024-06-18T00:00:00"/>
    <n v="10"/>
    <d v="2024-07-01T00:00:00"/>
    <n v="30"/>
    <d v="2024-08-10T00:00:00"/>
    <n v="39"/>
    <x v="0"/>
    <s v="ANONYMISED"/>
  </r>
  <r>
    <x v="5"/>
    <x v="0"/>
    <s v="ANONYMISED"/>
    <s v="ANONYMISED"/>
    <n v="7"/>
    <x v="3"/>
    <s v="Footwear"/>
    <x v="0"/>
    <x v="3"/>
    <d v="2024-06-20T00:00:00"/>
    <n v="10"/>
    <d v="2024-07-03T00:00:00"/>
    <n v="32"/>
    <d v="2024-08-15T00:00:00"/>
    <n v="41"/>
    <x v="0"/>
    <s v="ANONYMISED"/>
  </r>
  <r>
    <x v="6"/>
    <x v="0"/>
    <s v="ANONYMISED"/>
    <s v="ANONYMISED"/>
    <n v="6"/>
    <x v="0"/>
    <s v="Foot orthotic"/>
    <x v="0"/>
    <x v="0"/>
    <d v="2024-06-22T00:00:00"/>
    <n v="13"/>
    <d v="2024-07-10T00:00:00"/>
    <n v="33"/>
    <d v="2024-08-25T00:00:00"/>
    <n v="45"/>
    <x v="0"/>
    <s v="ANONYMISED"/>
  </r>
  <r>
    <x v="7"/>
    <x v="0"/>
    <s v="ANONYMISED"/>
    <s v="ANONYMISED"/>
    <n v="2"/>
    <x v="4"/>
    <s v="Collar &amp; cuff"/>
    <x v="0"/>
    <x v="0"/>
    <d v="2024-07-01T00:00:00"/>
    <n v="7"/>
    <d v="2024-07-09T00:00:00"/>
    <n v="31"/>
    <d v="2024-08-20T00:00:00"/>
    <n v="37"/>
    <x v="0"/>
    <s v="ANONYMISED"/>
  </r>
  <r>
    <x v="8"/>
    <x v="0"/>
    <s v="ANONYMISED"/>
    <s v="ANONYMISED"/>
    <n v="8"/>
    <x v="1"/>
    <s v="LLD"/>
    <x v="1"/>
    <x v="2"/>
    <d v="2024-07-03T00:00:00"/>
    <n v="11"/>
    <d v="2024-07-17T00:00:00"/>
    <n v="32"/>
    <d v="2024-08-29T00:00:00"/>
    <n v="42"/>
    <x v="0"/>
    <s v="ANONYMISED"/>
  </r>
  <r>
    <x v="9"/>
    <x v="0"/>
    <s v="ANONYMISED"/>
    <s v="ANONYMISED"/>
    <n v="6"/>
    <x v="0"/>
    <s v="AFO review"/>
    <x v="0"/>
    <x v="0"/>
    <d v="2024-07-07T00:00:00"/>
    <n v="9"/>
    <d v="2024-07-18T00:00:00"/>
    <n v="32"/>
    <d v="2024-09-01T00:00:00"/>
    <n v="40"/>
    <x v="0"/>
    <s v="ANONYMISED"/>
  </r>
  <r>
    <x v="10"/>
    <x v="0"/>
    <s v="ANONYMISED"/>
    <s v="ANONYMISED"/>
    <n v="3"/>
    <x v="5"/>
    <s v="Wrist pain"/>
    <x v="3"/>
    <x v="1"/>
    <d v="2024-07-10T00:00:00"/>
    <n v="12"/>
    <d v="2024-07-25T00:00:00"/>
    <n v="29"/>
    <d v="2024-09-03T00:00:00"/>
    <n v="40"/>
    <x v="0"/>
    <s v="ANONYMISED"/>
  </r>
  <r>
    <x v="11"/>
    <x v="0"/>
    <s v="ANONYMISED"/>
    <s v="ANONYMISED"/>
    <n v="8"/>
    <x v="1"/>
    <s v="LLD"/>
    <x v="1"/>
    <x v="0"/>
    <d v="2024-07-15T00:00:00"/>
    <n v="11"/>
    <d v="2024-07-29T00:00:00"/>
    <n v="34"/>
    <d v="2024-09-12T00:00:00"/>
    <n v="44"/>
    <x v="0"/>
    <s v="ANONYMISED"/>
  </r>
  <r>
    <x v="12"/>
    <x v="0"/>
    <s v="ANONYMISED"/>
    <s v="ANONYMISED"/>
    <n v="5"/>
    <x v="2"/>
    <s v="Knee OA"/>
    <x v="2"/>
    <x v="0"/>
    <d v="2024-07-18T00:00:00"/>
    <n v="12"/>
    <d v="2024-08-02T00:00:00"/>
    <n v="36"/>
    <d v="2024-09-20T00:00:00"/>
    <n v="47"/>
    <x v="0"/>
    <s v="ANONYMISED"/>
  </r>
  <r>
    <x v="13"/>
    <x v="0"/>
    <s v="ANONYMISED"/>
    <s v="ANONYMISED"/>
    <n v="7"/>
    <x v="3"/>
    <s v="Footwear"/>
    <x v="0"/>
    <x v="2"/>
    <d v="2024-07-22T00:00:00"/>
    <n v="11"/>
    <d v="2024-08-05T00:00:00"/>
    <n v="38"/>
    <d v="2024-09-25T00:00:00"/>
    <n v="48"/>
    <x v="0"/>
    <s v="ANONYMISED"/>
  </r>
  <r>
    <x v="14"/>
    <x v="0"/>
    <s v="ANONYMISED"/>
    <s v="ANONYMISED"/>
    <n v="6"/>
    <x v="0"/>
    <s v="AFO"/>
    <x v="0"/>
    <x v="0"/>
    <d v="2024-08-01T00:00:00"/>
    <n v="11"/>
    <d v="2024-08-15T00:00:00"/>
    <n v="33"/>
    <d v="2024-09-30T00:00:00"/>
    <n v="43"/>
    <x v="0"/>
    <s v="ANONYMISED"/>
  </r>
  <r>
    <x v="15"/>
    <x v="0"/>
    <s v="ANONYMISED"/>
    <s v="ANONYMISED"/>
    <n v="8"/>
    <x v="1"/>
    <s v="LLD"/>
    <x v="1"/>
    <x v="0"/>
    <d v="2024-08-05T00:00:00"/>
    <n v="12"/>
    <d v="2024-08-20T00:00:00"/>
    <n v="34"/>
    <d v="2024-10-05T00:00:00"/>
    <n v="45"/>
    <x v="0"/>
    <s v="ANONYMISED"/>
  </r>
  <r>
    <x v="16"/>
    <x v="0"/>
    <s v="ANONYMISED"/>
    <s v="ANONYMISED"/>
    <n v="5"/>
    <x v="2"/>
    <s v="Knee instability"/>
    <x v="0"/>
    <x v="1"/>
    <d v="2024-08-10T00:00:00"/>
    <n v="15"/>
    <d v="2024-09-01T00:00:00"/>
    <n v="35"/>
    <d v="2024-10-18T00:00:00"/>
    <n v="50"/>
    <x v="0"/>
    <s v="ANONYMISED"/>
  </r>
  <r>
    <x v="17"/>
    <x v="0"/>
    <s v="ANONYMISED"/>
    <s v="ANONYMISED"/>
    <n v="6"/>
    <x v="0"/>
    <s v="Foot pain"/>
    <x v="3"/>
    <x v="0"/>
    <d v="2024-08-15T00:00:00"/>
    <n v="12"/>
    <d v="2024-08-30T00:00:00"/>
    <n v="36"/>
    <d v="2024-10-20T00:00:00"/>
    <n v="47"/>
    <x v="0"/>
    <s v="ANONYMISED"/>
  </r>
  <r>
    <x v="18"/>
    <x v="0"/>
    <s v="ANONYMISED"/>
    <s v="ANONYMISED"/>
    <n v="8"/>
    <x v="1"/>
    <s v="LLD"/>
    <x v="1"/>
    <x v="2"/>
    <d v="2024-08-20T00:00:00"/>
    <n v="13"/>
    <d v="2024-09-05T00:00:00"/>
    <n v="37"/>
    <d v="2024-10-25T00:00:00"/>
    <n v="49"/>
    <x v="0"/>
    <s v="ANONYMISED"/>
  </r>
  <r>
    <x v="19"/>
    <x v="0"/>
    <s v="ANONYMISED"/>
    <s v="ANONYMISED"/>
    <n v="2"/>
    <x v="4"/>
    <s v="Shoulder support"/>
    <x v="0"/>
    <x v="4"/>
    <d v="2024-08-25T00:00:00"/>
    <n v="12"/>
    <d v="2024-09-10T00:00:00"/>
    <n v="39"/>
    <d v="2024-11-01T00:00:00"/>
    <n v="50"/>
    <x v="0"/>
    <s v="ANONYMISED"/>
  </r>
  <r>
    <x v="0"/>
    <x v="1"/>
    <s v="ANONYMISED"/>
    <s v="ANONYMISED"/>
    <n v="6"/>
    <x v="0"/>
    <s v="Review of AFO"/>
    <x v="0"/>
    <x v="0"/>
    <d v="2025-06-03T00:00:00"/>
    <n v="0"/>
    <d v="2025-06-03T00:00:00"/>
    <n v="34"/>
    <d v="2025-07-07T00:00:00"/>
    <n v="34"/>
    <x v="0"/>
    <s v="ANONYMISED"/>
  </r>
  <r>
    <x v="1"/>
    <x v="1"/>
    <s v="ANONYMISED"/>
    <s v="ANONYMISED"/>
    <n v="8"/>
    <x v="1"/>
    <s v="LLD"/>
    <x v="4"/>
    <x v="4"/>
    <d v="2025-06-05T00:00:00"/>
    <n v="0"/>
    <d v="2025-06-05T00:00:00"/>
    <n v="32"/>
    <d v="2025-07-07T00:00:00"/>
    <n v="32"/>
    <x v="0"/>
    <s v="ANONYMISED"/>
  </r>
  <r>
    <x v="2"/>
    <x v="1"/>
    <s v="ANONYMISED"/>
    <s v="ANONYMISED"/>
    <n v="5"/>
    <x v="2"/>
    <s v="Varus deformity"/>
    <x v="2"/>
    <x v="3"/>
    <d v="2025-06-08T00:00:00"/>
    <n v="0"/>
    <d v="2025-06-08T00:00:00"/>
    <n v="36"/>
    <d v="2025-07-14T00:00:00"/>
    <n v="36"/>
    <x v="0"/>
    <s v="ANONYMISED"/>
  </r>
  <r>
    <x v="3"/>
    <x v="1"/>
    <s v="ANONYMISED"/>
    <s v="ANONYMISED"/>
    <n v="8"/>
    <x v="1"/>
    <s v="LLD"/>
    <x v="4"/>
    <x v="2"/>
    <d v="2025-06-10T00:00:00"/>
    <n v="0"/>
    <d v="2025-06-10T00:00:00"/>
    <n v="28"/>
    <d v="2025-07-08T00:00:00"/>
    <n v="28"/>
    <x v="0"/>
    <s v="ANONYMISED"/>
  </r>
  <r>
    <x v="4"/>
    <x v="1"/>
    <s v="ANONYMISED"/>
    <s v="ANONYMISED"/>
    <n v="5"/>
    <x v="2"/>
    <s v="Varus knee"/>
    <x v="2"/>
    <x v="1"/>
    <d v="2025-06-14T00:00:00"/>
    <n v="0"/>
    <d v="2025-06-14T00:00:00"/>
    <n v="33"/>
    <d v="2025-07-17T00:00:00"/>
    <n v="33"/>
    <x v="0"/>
    <s v="ANONYMISED"/>
  </r>
  <r>
    <x v="5"/>
    <x v="1"/>
    <s v="ANONYMISED"/>
    <s v="ANONYMISED"/>
    <n v="7"/>
    <x v="3"/>
    <s v="Footwear"/>
    <x v="0"/>
    <x v="0"/>
    <d v="2025-06-18T00:00:00"/>
    <n v="0"/>
    <d v="2025-06-18T00:00:00"/>
    <n v="35"/>
    <d v="2025-07-23T00:00:00"/>
    <n v="35"/>
    <x v="0"/>
    <s v="ANONYMISED"/>
  </r>
  <r>
    <x v="6"/>
    <x v="1"/>
    <s v="ANONYMISED"/>
    <s v="ANONYMISED"/>
    <n v="6"/>
    <x v="0"/>
    <s v="Foot orthotic"/>
    <x v="0"/>
    <x v="4"/>
    <d v="2025-06-20T00:00:00"/>
    <n v="0"/>
    <d v="2025-06-20T00:00:00"/>
    <n v="39"/>
    <d v="2025-07-29T00:00:00"/>
    <n v="39"/>
    <x v="0"/>
    <s v="ANONYMISED"/>
  </r>
  <r>
    <x v="7"/>
    <x v="1"/>
    <s v="ANONYMISED"/>
    <s v="ANONYMISED"/>
    <n v="8"/>
    <x v="1"/>
    <s v="LLD"/>
    <x v="4"/>
    <x v="3"/>
    <d v="2025-06-25T00:00:00"/>
    <n v="0"/>
    <d v="2025-06-25T00:00:00"/>
    <n v="31"/>
    <d v="2025-07-26T00:00:00"/>
    <n v="31"/>
    <x v="0"/>
    <s v="ANONYMISED"/>
  </r>
  <r>
    <x v="8"/>
    <x v="1"/>
    <s v="ANONYMISED"/>
    <s v="ANONYMISED"/>
    <n v="6"/>
    <x v="0"/>
    <s v="AFO review"/>
    <x v="0"/>
    <x v="2"/>
    <d v="2025-06-28T00:00:00"/>
    <n v="0"/>
    <d v="2025-06-28T00:00:00"/>
    <n v="34"/>
    <d v="2025-08-01T00:00:00"/>
    <n v="34"/>
    <x v="0"/>
    <s v="ANONYMISED"/>
  </r>
  <r>
    <x v="9"/>
    <x v="1"/>
    <s v="ANONYMISED"/>
    <s v="ANONYMISED"/>
    <n v="3"/>
    <x v="5"/>
    <s v="Wrist pain"/>
    <x v="3"/>
    <x v="1"/>
    <d v="2025-07-01T00:00:00"/>
    <n v="0"/>
    <d v="2025-07-01T00:00:00"/>
    <n v="33"/>
    <d v="2025-08-03T00:00:00"/>
    <n v="33"/>
    <x v="0"/>
    <s v="ANONYMISED"/>
  </r>
  <r>
    <x v="10"/>
    <x v="1"/>
    <s v="ANONYMISED"/>
    <s v="ANONYMISED"/>
    <n v="8"/>
    <x v="1"/>
    <s v="LLD"/>
    <x v="4"/>
    <x v="0"/>
    <d v="2025-07-05T00:00:00"/>
    <n v="0"/>
    <d v="2025-07-05T00:00:00"/>
    <n v="36"/>
    <d v="2025-08-10T00:00:00"/>
    <n v="36"/>
    <x v="0"/>
    <s v="ANONYMISED"/>
  </r>
  <r>
    <x v="11"/>
    <x v="1"/>
    <s v="ANONYMISED"/>
    <s v="ANONYMISED"/>
    <n v="7"/>
    <x v="3"/>
    <s v="Footwear"/>
    <x v="0"/>
    <x v="4"/>
    <d v="2025-07-08T00:00:00"/>
    <n v="0"/>
    <d v="2025-07-08T00:00:00"/>
    <n v="34"/>
    <d v="2025-08-11T00:00:00"/>
    <n v="34"/>
    <x v="0"/>
    <s v="ANONYMISED"/>
  </r>
  <r>
    <x v="12"/>
    <x v="1"/>
    <s v="ANONYMISED"/>
    <s v="ANONYMISED"/>
    <n v="6"/>
    <x v="0"/>
    <s v="AFO"/>
    <x v="0"/>
    <x v="3"/>
    <d v="2025-07-12T00:00:00"/>
    <n v="0"/>
    <d v="2025-07-12T00:00:00"/>
    <n v="38"/>
    <d v="2025-08-19T00:00:00"/>
    <n v="38"/>
    <x v="0"/>
    <s v="ANONYMISED"/>
  </r>
  <r>
    <x v="13"/>
    <x v="1"/>
    <s v="ANONYMISED"/>
    <s v="ANONYMISED"/>
    <n v="8"/>
    <x v="1"/>
    <s v="LLD"/>
    <x v="4"/>
    <x v="2"/>
    <d v="2025-07-15T00:00:00"/>
    <n v="0"/>
    <d v="2025-07-15T00:00:00"/>
    <n v="32"/>
    <d v="2025-08-16T00:00:00"/>
    <n v="32"/>
    <x v="0"/>
    <s v="ANONYMISED"/>
  </r>
  <r>
    <x v="14"/>
    <x v="1"/>
    <s v="ANONYMISED"/>
    <s v="ANONYMISED"/>
    <n v="5"/>
    <x v="2"/>
    <s v="Knee instability"/>
    <x v="0"/>
    <x v="1"/>
    <d v="2025-07-20T00:00:00"/>
    <n v="0"/>
    <d v="2025-07-20T00:00:00"/>
    <n v="40"/>
    <d v="2025-08-29T00:00:00"/>
    <n v="40"/>
    <x v="0"/>
    <s v="ANONYMISED"/>
  </r>
  <r>
    <x v="15"/>
    <x v="1"/>
    <s v="ANONYMISED"/>
    <s v="ANONYMISED"/>
    <n v="6"/>
    <x v="0"/>
    <s v="Foot pain"/>
    <x v="3"/>
    <x v="0"/>
    <d v="2025-07-25T00:00:00"/>
    <n v="0"/>
    <d v="2025-07-25T00:00:00"/>
    <n v="37"/>
    <d v="2025-08-31T00:00:00"/>
    <n v="37"/>
    <x v="0"/>
    <s v="ANONYMISED"/>
  </r>
  <r>
    <x v="16"/>
    <x v="1"/>
    <s v="ANONYMISED"/>
    <s v="ANONYMISED"/>
    <n v="8"/>
    <x v="1"/>
    <s v="LLD"/>
    <x v="4"/>
    <x v="4"/>
    <d v="2025-07-28T00:00:00"/>
    <n v="0"/>
    <d v="2025-07-28T00:00:00"/>
    <n v="35"/>
    <d v="2025-09-01T00:00:00"/>
    <n v="35"/>
    <x v="0"/>
    <s v="ANONYMISED"/>
  </r>
  <r>
    <x v="17"/>
    <x v="1"/>
    <s v="ANONYMISED"/>
    <s v="ANONYMISED"/>
    <n v="2"/>
    <x v="4"/>
    <s v="Shoulder support"/>
    <x v="0"/>
    <x v="3"/>
    <d v="2025-08-01T00:00:00"/>
    <n v="0"/>
    <d v="2025-08-01T00:00:00"/>
    <n v="39"/>
    <d v="2025-09-09T00:00:00"/>
    <n v="39"/>
    <x v="0"/>
    <s v="ANONYMISED"/>
  </r>
  <r>
    <x v="18"/>
    <x v="1"/>
    <s v="ANONYMISED"/>
    <s v="ANONYMISED"/>
    <n v="6"/>
    <x v="0"/>
    <s v="AFO review"/>
    <x v="0"/>
    <x v="2"/>
    <d v="2025-08-05T00:00:00"/>
    <n v="0"/>
    <d v="2025-08-05T00:00:00"/>
    <n v="33"/>
    <d v="2025-09-07T00:00:00"/>
    <n v="33"/>
    <x v="0"/>
    <s v="ANONYMISED"/>
  </r>
  <r>
    <x v="19"/>
    <x v="1"/>
    <s v="ANONYMISED"/>
    <s v="ANONYMISED"/>
    <n v="5"/>
    <x v="2"/>
    <s v="Knee OA"/>
    <x v="2"/>
    <x v="4"/>
    <d v="2025-08-10T00:00:00"/>
    <n v="0"/>
    <d v="2025-08-10T00:00:00"/>
    <n v="36"/>
    <d v="2025-09-15T00:00:00"/>
    <n v="36"/>
    <x v="0"/>
    <s v="ANONYMISED"/>
  </r>
  <r>
    <x v="20"/>
    <x v="1"/>
    <s v="ANONYMISED"/>
    <s v="ANONYMISED"/>
    <n v="8"/>
    <x v="1"/>
    <s v="LLD"/>
    <x v="4"/>
    <x v="0"/>
    <d v="2025-08-15T00:00:00"/>
    <n v="0"/>
    <d v="2025-08-15T00:00:00"/>
    <n v="34"/>
    <d v="2025-09-18T00:00:00"/>
    <n v="34"/>
    <x v="0"/>
    <s v="ANONYMISED"/>
  </r>
  <r>
    <x v="21"/>
    <x v="1"/>
    <s v="ANONYMISED"/>
    <s v="ANONYMISED"/>
    <n v="7"/>
    <x v="3"/>
    <s v="Footwear"/>
    <x v="0"/>
    <x v="1"/>
    <d v="2025-08-20T00:00:00"/>
    <n v="0"/>
    <d v="2025-08-20T00:00:00"/>
    <n v="38"/>
    <d v="2025-09-27T00:00:00"/>
    <n v="38"/>
    <x v="0"/>
    <s v="ANONYMISED"/>
  </r>
  <r>
    <x v="22"/>
    <x v="1"/>
    <s v="ANONYMISED"/>
    <s v="ANONYMISED"/>
    <n v="6"/>
    <x v="0"/>
    <s v="Foot orthotic"/>
    <x v="0"/>
    <x v="3"/>
    <d v="2025-08-25T00:00:00"/>
    <n v="0"/>
    <d v="2025-08-25T00:00:00"/>
    <n v="40"/>
    <d v="2025-10-04T00:00:00"/>
    <n v="40"/>
    <x v="0"/>
    <s v="ANONYMI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9EC9F-480E-4CBF-ABF0-EC04F9212338}" name="PivotTable9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2" firstHeaderRow="0" firstDataRow="0" firstDataCol="0"/>
  <pivotFields count="17">
    <pivotField showAll="0"/>
    <pivotField showAll="0">
      <items count="3">
        <item x="0"/>
        <item h="1" x="1"/>
        <item t="default"/>
      </items>
    </pivotField>
    <pivotField showAll="0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numFmtId="1" showAll="0"/>
    <pivotField numFmtId="14" showAll="0"/>
    <pivotField numFmtId="1" showAll="0"/>
    <pivotField numFmtId="14" showAll="0"/>
    <pivotField numFmtId="1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06265-9926-4742-9816-BB74D740C7AF}" name="PivotTable5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3">
  <location ref="E12:F18" firstHeaderRow="1" firstDataRow="1" firstDataCol="1"/>
  <pivotFields count="17">
    <pivotField showAll="0"/>
    <pivotField showAll="0">
      <items count="3">
        <item x="0"/>
        <item h="1" x="1"/>
        <item t="default"/>
      </items>
    </pivotField>
    <pivotField showAll="0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axis="axisRow" dataField="1" showAll="0">
      <items count="6">
        <item x="1"/>
        <item x="2"/>
        <item x="3"/>
        <item x="0"/>
        <item x="4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numFmtId="1" showAll="0"/>
    <pivotField numFmtId="14" showAll="0"/>
    <pivotField numFmtId="1" showAll="0"/>
    <pivotField numFmtId="14" showAll="0"/>
    <pivotField numFmtId="1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ason for referral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14F67-057E-486B-B981-0FC8D2B14F50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19:G43" firstHeaderRow="0" firstDataRow="1" firstDataCol="1"/>
  <pivotFields count="17">
    <pivotField axis="axisRow" showAll="0" sortType="descending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 countASubtotal="1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dataField="1" numFmtId="1" showAll="0"/>
    <pivotField numFmtId="14" showAll="0"/>
    <pivotField dataField="1" numFmtId="1" showAll="0"/>
    <pivotField numFmtId="14" showAll="0"/>
    <pivotField numFmtId="1"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nterval GP/Orthotics WD" fld="10" subtotal="average" baseField="1" baseItem="0" numFmtId="1"/>
    <dataField name="Average of Interval Orthotics to Initial assessment WD" fld="12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1CD2B-1DE7-48CB-8D6F-6AA0517E916A}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25" firstHeaderRow="1" firstDataRow="1" firstDataCol="1"/>
  <pivotFields count="17">
    <pivotField showAll="0"/>
    <pivotField axis="axisRow" dataField="1" showAll="0">
      <items count="3">
        <item x="0"/>
        <item h="1" x="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numFmtId="14" showAll="0"/>
    <pivotField numFmtId="1" showAll="0"/>
    <pivotField numFmtId="14" showAll="0"/>
    <pivotField numFmtId="1" showAll="0"/>
    <pivotField numFmtId="14" showAll="0"/>
    <pivotField numFmtId="1"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Count of Year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20853-9067-4D2B-8A0A-38ADD0730EE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7">
    <pivotField showAll="0"/>
    <pivotField showAll="0">
      <items count="3">
        <item x="0"/>
        <item h="1" x="1"/>
        <item t="default"/>
      </items>
    </pivotField>
    <pivotField showAll="0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numFmtId="1" showAll="0"/>
    <pivotField numFmtId="14" showAll="0"/>
    <pivotField numFmtId="1" showAll="0"/>
    <pivotField numFmtId="14" showAll="0"/>
    <pivotField dataField="1" numFmtId="1" showAll="0"/>
    <pivotField showAll="0"/>
    <pivotField showAll="0"/>
  </pivotFields>
  <rowItems count="1">
    <i/>
  </rowItems>
  <colItems count="1">
    <i/>
  </colItems>
  <dataFields count="1">
    <dataField name="Average of Total Pathway WD" fld="1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24395-498D-4C51-97B6-C6AF75179B5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7">
    <pivotField showAll="0"/>
    <pivotField showAll="0">
      <items count="3">
        <item x="0"/>
        <item h="1" x="1"/>
        <item t="default"/>
      </items>
    </pivotField>
    <pivotField dataField="1" showAll="0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numFmtId="1" showAll="0"/>
    <pivotField numFmtId="14" showAll="0"/>
    <pivotField numFmtId="1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Count of NHS 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EAAB3-BF76-4C7F-A102-998B94958497}" name="PivotTable11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6:B18" firstHeaderRow="1" firstDataRow="1" firstDataCol="1"/>
  <pivotFields count="17">
    <pivotField showAll="0"/>
    <pivotField showAll="0">
      <items count="3">
        <item x="0"/>
        <item h="1" x="1"/>
        <item t="default"/>
      </items>
    </pivotField>
    <pivotField showAll="0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numFmtId="1" showAll="0"/>
    <pivotField numFmtId="14" showAll="0"/>
    <pivotField numFmtId="1" showAll="0"/>
    <pivotField numFmtId="14" showAll="0"/>
    <pivotField numFmtId="1" showAll="0"/>
    <pivotField axis="axisRow" dataField="1" showAll="0" countASubtotal="1">
      <items count="3">
        <item x="0"/>
        <item m="1" x="1"/>
        <item t="countA"/>
      </items>
    </pivotField>
    <pivotField showAll="0"/>
  </pivotFields>
  <rowFields count="1">
    <field x="15"/>
  </rowFields>
  <rowItems count="2">
    <i>
      <x/>
    </i>
    <i t="grand">
      <x/>
    </i>
  </rowItems>
  <colItems count="1">
    <i/>
  </colItems>
  <dataFields count="1">
    <dataField name="Count of Outcome" fld="15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4C4DB-CC03-4B85-958A-CFF264F0507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 insert chart">
  <location ref="E3:F10" firstHeaderRow="1" firstDataRow="1" firstDataCol="1"/>
  <pivotFields count="17">
    <pivotField showAll="0"/>
    <pivotField showAll="0">
      <items count="3">
        <item x="0"/>
        <item h="1" x="1"/>
        <item t="default"/>
      </items>
    </pivotField>
    <pivotField showAll="0"/>
    <pivotField showAll="0"/>
    <pivotField numFmtId="1" showAll="0"/>
    <pivotField axis="axisRow" dataField="1"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numFmtId="1" showAll="0"/>
    <pivotField numFmtId="14" showAll="0"/>
    <pivotField numFmtId="1" showAll="0"/>
    <pivotField numFmtId="14" showAll="0"/>
    <pivotField numFmtId="1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las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9B22F-0F71-4E4D-8B73-5180DAD10161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10:I16" firstHeaderRow="1" firstDataRow="1" firstDataCol="1"/>
  <pivotFields count="17">
    <pivotField dataField="1" showAll="0"/>
    <pivotField showAll="0">
      <items count="3">
        <item x="0"/>
        <item h="1" x="1"/>
        <item t="default"/>
      </items>
    </pivotField>
    <pivotField showAll="0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axis="axisRow" showAll="0">
      <items count="11">
        <item m="1" x="8"/>
        <item m="1" x="5"/>
        <item m="1" x="9"/>
        <item m="1" x="6"/>
        <item m="1" x="7"/>
        <item x="0"/>
        <item x="1"/>
        <item x="2"/>
        <item x="3"/>
        <item x="4"/>
        <item t="default"/>
      </items>
    </pivotField>
    <pivotField numFmtId="14" showAll="0"/>
    <pivotField numFmtId="1" showAll="0"/>
    <pivotField numFmtId="14" showAll="0"/>
    <pivotField numFmtId="1" showAll="0"/>
    <pivotField numFmtId="14" showAll="0"/>
    <pivotField numFmtId="1" showAll="0"/>
    <pivotField showAll="0"/>
    <pivotField showAll="0"/>
  </pivotFields>
  <rowFields count="1">
    <field x="8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ferral number" fld="0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BBF8F-F15F-4662-9A25-95B5EF02F45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7">
    <pivotField showAll="0"/>
    <pivotField showAll="0">
      <items count="3">
        <item x="0"/>
        <item h="1" x="1"/>
        <item t="default"/>
      </items>
    </pivotField>
    <pivotField showAll="0"/>
    <pivotField showAll="0"/>
    <pivotField numFmtId="1"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11">
        <item m="1" x="8"/>
        <item m="1" x="5"/>
        <item m="1" x="9"/>
        <item m="1" x="6"/>
        <item m="1" x="7"/>
        <item x="0"/>
        <item x="1"/>
        <item x="2"/>
        <item x="4"/>
        <item x="3"/>
        <item t="default"/>
      </items>
    </pivotField>
    <pivotField numFmtId="14" showAll="0"/>
    <pivotField dataField="1" numFmtId="1" showAll="0"/>
    <pivotField numFmtId="14" showAll="0"/>
    <pivotField numFmtId="1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Average of Interval GP/Orthotics WD" fld="10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BA8C8-7DF3-4F38-AFE6-45FDBB659054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D21" firstHeaderRow="1" firstDataRow="2" firstDataCol="1"/>
  <pivotFields count="17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numFmtId="14" showAll="0"/>
    <pivotField numFmtId="1" showAll="0"/>
    <pivotField numFmtId="14" showAll="0"/>
    <pivotField numFmtId="1" showAll="0"/>
    <pivotField numFmtId="14" showAll="0"/>
    <pivotField numFmtId="1" showAll="0"/>
    <pivotField axis="axisCol" showAll="0">
      <items count="3">
        <item x="0"/>
        <item m="1"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5"/>
  </colFields>
  <colItems count="2">
    <i>
      <x/>
    </i>
    <i t="grand">
      <x/>
    </i>
  </colItems>
  <dataFields count="1">
    <dataField name="Count of Referral number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95C67-9E2A-4DCC-9655-F8D1A7414B5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6" firstHeaderRow="0" firstDataRow="1" firstDataCol="1"/>
  <pivotFields count="17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numFmtId="14" showAll="0"/>
    <pivotField dataField="1" numFmtId="1" showAll="0"/>
    <pivotField numFmtId="14" showAll="0"/>
    <pivotField dataField="1" numFmtId="1" showAll="0"/>
    <pivotField numFmtId="14" showAll="0"/>
    <pivotField dataField="1" numFmtI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tal Pathway WD" fld="14" subtotal="average" baseField="1" baseItem="0" numFmtId="1"/>
    <dataField name="Count of Referral number" fld="0" subtotal="count" baseField="1" baseItem="0"/>
    <dataField name="Average of Interval GP/Orthotics WD" fld="10" subtotal="average" baseField="1" baseItem="0" numFmtId="1"/>
    <dataField name="Average of Interval Orthotics to Initial assessment WD" fld="12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C2140-45E7-4879-8080-8DF5347E72B3}" name="Table1" displayName="Table1" ref="A1:Q44" totalsRowShown="0" headerRowDxfId="9">
  <autoFilter ref="A1:Q44" xr:uid="{ACEC2140-45E7-4879-8080-8DF5347E72B3}"/>
  <tableColumns count="17">
    <tableColumn id="15" xr3:uid="{93A63D49-9915-494A-9ACA-2437B7B29025}" name="Referral number"/>
    <tableColumn id="17" xr3:uid="{19901152-C062-41F8-8EE4-80B5FB4E4C9B}" name="Year"/>
    <tableColumn id="1" xr3:uid="{9ED26081-6F5B-496B-A4C5-DA2A7CFB75FC}" name="NHS Number"/>
    <tableColumn id="2" xr3:uid="{C51C66B5-DFA4-4ABA-B510-D27D6215B22D}" name="Patient Initials"/>
    <tableColumn id="3" xr3:uid="{F631FE64-D0CF-4E33-B5E0-5941F9B224C2}" name="Class Code" dataDxfId="8"/>
    <tableColumn id="4" xr3:uid="{86D72934-06E0-4B1B-A464-D380816538E7}" name="Class"/>
    <tableColumn id="5" xr3:uid="{A245134B-8F7F-4224-A051-3AFA5848A2FE}" name="Problem"/>
    <tableColumn id="6" xr3:uid="{295B6EDF-91D2-4774-935B-1D87B4FFA7D0}" name="Reason for referral"/>
    <tableColumn id="7" xr3:uid="{A4F5FDDC-CA29-4389-8809-0E8A7856945F}" name="Referring Therapist"/>
    <tableColumn id="8" xr3:uid="{7C441BE6-723B-4442-BAE1-144136628085}" name="Request  sent " dataDxfId="7"/>
    <tableColumn id="9" xr3:uid="{178F09E3-EA75-4BBB-9E30-2E4EBFBD9A76}" name="Interval GP/Orthotics WD" dataDxfId="6"/>
    <tableColumn id="10" xr3:uid="{EBAF565E-42E0-4BFE-B5F4-44DBA51A5674}" name="Orthoticsc reciept" dataDxfId="5"/>
    <tableColumn id="11" xr3:uid="{52D42F6B-D39B-471B-A877-CD4B66EF0387}" name="Interval Orthotics to Initial assessment WD" dataDxfId="4"/>
    <tableColumn id="12" xr3:uid="{3F0D021E-4A01-443E-B16A-41DCEA577643}" name="Initial assessment date Date" dataDxfId="3"/>
    <tableColumn id="13" xr3:uid="{1A9A4149-CB3A-498F-97C2-A0C14BEEAA04}" name="Total Pathway WD" dataDxfId="2"/>
    <tableColumn id="16" xr3:uid="{95435737-4E14-4E10-8A66-6C7369FCCEEA}" name="Outcome" dataDxfId="1"/>
    <tableColumn id="14" xr3:uid="{BFA08745-A025-4BC6-8438-1FA079CD7C1F}" name="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440F-533B-4673-AC86-D621F4B26071}">
  <sheetPr>
    <pageSetUpPr fitToPage="1"/>
  </sheetPr>
  <dimension ref="A1:Q47"/>
  <sheetViews>
    <sheetView tabSelected="1" zoomScale="75" zoomScaleNormal="75" workbookViewId="0">
      <selection activeCell="D50" sqref="D50"/>
    </sheetView>
  </sheetViews>
  <sheetFormatPr defaultRowHeight="14.4" x14ac:dyDescent="0.3"/>
  <cols>
    <col min="1" max="3" width="13.77734375" customWidth="1"/>
    <col min="4" max="4" width="20.109375" customWidth="1"/>
    <col min="5" max="5" width="17.44140625" bestFit="1" customWidth="1"/>
    <col min="6" max="6" width="12.109375" style="7" customWidth="1"/>
    <col min="7" max="7" width="20.5546875" bestFit="1" customWidth="1"/>
    <col min="8" max="8" width="22.109375" bestFit="1" customWidth="1"/>
    <col min="9" max="9" width="22.6640625" customWidth="1"/>
    <col min="10" max="10" width="18.44140625" customWidth="1"/>
    <col min="11" max="11" width="22.88671875" customWidth="1"/>
    <col min="12" max="12" width="23.6640625" customWidth="1"/>
    <col min="13" max="13" width="26.44140625" customWidth="1"/>
    <col min="14" max="14" width="38" customWidth="1"/>
    <col min="15" max="16" width="26.33203125" customWidth="1"/>
    <col min="17" max="17" width="20.44140625" bestFit="1" customWidth="1"/>
    <col min="18" max="18" width="17.5546875" customWidth="1"/>
    <col min="19" max="19" width="20.44140625" bestFit="1" customWidth="1"/>
    <col min="20" max="20" width="29" customWidth="1"/>
  </cols>
  <sheetData>
    <row r="1" spans="1:17" s="21" customFormat="1" ht="36" customHeight="1" x14ac:dyDescent="0.3">
      <c r="A1" s="21" t="s">
        <v>47</v>
      </c>
      <c r="B1" s="21" t="s">
        <v>59</v>
      </c>
      <c r="C1" s="21" t="s">
        <v>0</v>
      </c>
      <c r="D1" s="21" t="s">
        <v>1</v>
      </c>
      <c r="E1" s="22" t="s">
        <v>3</v>
      </c>
      <c r="F1" s="21" t="s">
        <v>2</v>
      </c>
      <c r="G1" s="21" t="s">
        <v>55</v>
      </c>
      <c r="H1" s="21" t="s">
        <v>54</v>
      </c>
      <c r="I1" s="21" t="s">
        <v>4</v>
      </c>
      <c r="J1" s="21" t="s">
        <v>58</v>
      </c>
      <c r="K1" s="21" t="s">
        <v>31</v>
      </c>
      <c r="L1" s="21" t="s">
        <v>57</v>
      </c>
      <c r="M1" s="21" t="s">
        <v>32</v>
      </c>
      <c r="N1" s="21" t="s">
        <v>34</v>
      </c>
      <c r="O1" s="21" t="s">
        <v>33</v>
      </c>
      <c r="P1" s="21" t="s">
        <v>52</v>
      </c>
      <c r="Q1" s="21" t="s">
        <v>51</v>
      </c>
    </row>
    <row r="2" spans="1:17" ht="22.2" customHeight="1" x14ac:dyDescent="0.3">
      <c r="A2">
        <v>1</v>
      </c>
      <c r="B2">
        <v>2024</v>
      </c>
      <c r="C2" t="s">
        <v>62</v>
      </c>
      <c r="D2" t="s">
        <v>62</v>
      </c>
      <c r="E2" s="7">
        <v>6</v>
      </c>
      <c r="F2" t="s">
        <v>28</v>
      </c>
      <c r="G2" t="s">
        <v>5</v>
      </c>
      <c r="H2" t="s">
        <v>37</v>
      </c>
      <c r="I2" t="s">
        <v>106</v>
      </c>
      <c r="J2" s="2">
        <v>45446</v>
      </c>
      <c r="K2" s="20">
        <v>8</v>
      </c>
      <c r="L2" s="1">
        <v>45455</v>
      </c>
      <c r="M2" s="7">
        <v>33</v>
      </c>
      <c r="N2" s="1">
        <v>45501</v>
      </c>
      <c r="O2" s="7">
        <v>40</v>
      </c>
      <c r="P2" s="7" t="s">
        <v>49</v>
      </c>
      <c r="Q2" t="s">
        <v>62</v>
      </c>
    </row>
    <row r="3" spans="1:17" x14ac:dyDescent="0.3">
      <c r="A3">
        <v>2</v>
      </c>
      <c r="B3">
        <v>2024</v>
      </c>
      <c r="C3" t="s">
        <v>62</v>
      </c>
      <c r="D3" t="s">
        <v>62</v>
      </c>
      <c r="E3" s="7">
        <v>8</v>
      </c>
      <c r="F3" t="s">
        <v>9</v>
      </c>
      <c r="G3" t="s">
        <v>7</v>
      </c>
      <c r="H3" t="s">
        <v>39</v>
      </c>
      <c r="I3" t="s">
        <v>106</v>
      </c>
      <c r="J3" s="1">
        <v>45448</v>
      </c>
      <c r="K3" s="20">
        <v>11</v>
      </c>
      <c r="L3" s="1">
        <v>45462</v>
      </c>
      <c r="M3" s="7">
        <v>30</v>
      </c>
      <c r="N3" s="1">
        <v>45503</v>
      </c>
      <c r="O3" s="7">
        <v>40</v>
      </c>
      <c r="P3" s="7" t="s">
        <v>49</v>
      </c>
      <c r="Q3" t="s">
        <v>62</v>
      </c>
    </row>
    <row r="4" spans="1:17" x14ac:dyDescent="0.3">
      <c r="A4">
        <v>3</v>
      </c>
      <c r="B4">
        <v>2024</v>
      </c>
      <c r="C4" t="s">
        <v>62</v>
      </c>
      <c r="D4" t="s">
        <v>62</v>
      </c>
      <c r="E4" s="7">
        <v>5</v>
      </c>
      <c r="F4" t="s">
        <v>17</v>
      </c>
      <c r="G4" t="s">
        <v>8</v>
      </c>
      <c r="H4" t="s">
        <v>36</v>
      </c>
      <c r="I4" t="s">
        <v>107</v>
      </c>
      <c r="J4" s="1">
        <v>45454</v>
      </c>
      <c r="K4" s="20">
        <v>11</v>
      </c>
      <c r="L4" s="1">
        <v>45468</v>
      </c>
      <c r="M4" s="7">
        <v>30</v>
      </c>
      <c r="N4" s="1">
        <v>45509</v>
      </c>
      <c r="O4" s="7">
        <v>40</v>
      </c>
      <c r="P4" s="7" t="s">
        <v>49</v>
      </c>
      <c r="Q4" t="s">
        <v>62</v>
      </c>
    </row>
    <row r="5" spans="1:17" x14ac:dyDescent="0.3">
      <c r="A5">
        <v>4</v>
      </c>
      <c r="B5">
        <v>2024</v>
      </c>
      <c r="C5" t="s">
        <v>62</v>
      </c>
      <c r="D5" t="s">
        <v>62</v>
      </c>
      <c r="E5" s="7">
        <v>8</v>
      </c>
      <c r="F5" t="s">
        <v>9</v>
      </c>
      <c r="G5" t="s">
        <v>7</v>
      </c>
      <c r="H5" t="s">
        <v>39</v>
      </c>
      <c r="I5" t="s">
        <v>111</v>
      </c>
      <c r="J5" s="1">
        <v>45457</v>
      </c>
      <c r="K5" s="20">
        <v>1</v>
      </c>
      <c r="L5" s="1">
        <v>45457</v>
      </c>
      <c r="M5" s="7">
        <v>26</v>
      </c>
      <c r="N5" s="1">
        <v>45493</v>
      </c>
      <c r="O5" s="7">
        <v>26</v>
      </c>
      <c r="P5" s="7" t="s">
        <v>49</v>
      </c>
      <c r="Q5" t="s">
        <v>62</v>
      </c>
    </row>
    <row r="6" spans="1:17" x14ac:dyDescent="0.3">
      <c r="A6">
        <v>5</v>
      </c>
      <c r="B6">
        <v>2024</v>
      </c>
      <c r="C6" t="s">
        <v>62</v>
      </c>
      <c r="D6" t="s">
        <v>62</v>
      </c>
      <c r="E6" s="7">
        <v>5</v>
      </c>
      <c r="F6" t="s">
        <v>17</v>
      </c>
      <c r="G6" t="s">
        <v>10</v>
      </c>
      <c r="H6" t="s">
        <v>36</v>
      </c>
      <c r="I6" t="s">
        <v>106</v>
      </c>
      <c r="J6" s="1">
        <v>45461</v>
      </c>
      <c r="K6" s="20">
        <v>10</v>
      </c>
      <c r="L6" s="1">
        <v>45474</v>
      </c>
      <c r="M6" s="7">
        <v>30</v>
      </c>
      <c r="N6" s="1">
        <v>45514</v>
      </c>
      <c r="O6" s="7">
        <v>39</v>
      </c>
      <c r="P6" s="7" t="s">
        <v>49</v>
      </c>
      <c r="Q6" t="s">
        <v>62</v>
      </c>
    </row>
    <row r="7" spans="1:17" x14ac:dyDescent="0.3">
      <c r="A7">
        <v>6</v>
      </c>
      <c r="B7">
        <v>2024</v>
      </c>
      <c r="C7" t="s">
        <v>62</v>
      </c>
      <c r="D7" t="s">
        <v>62</v>
      </c>
      <c r="E7" s="7">
        <v>7</v>
      </c>
      <c r="F7" t="s">
        <v>11</v>
      </c>
      <c r="G7" t="s">
        <v>11</v>
      </c>
      <c r="H7" t="s">
        <v>37</v>
      </c>
      <c r="I7" t="s">
        <v>110</v>
      </c>
      <c r="J7" s="1">
        <v>45463</v>
      </c>
      <c r="K7" s="20">
        <v>10</v>
      </c>
      <c r="L7" s="1">
        <v>45476</v>
      </c>
      <c r="M7" s="7">
        <v>32</v>
      </c>
      <c r="N7" s="1">
        <v>45519</v>
      </c>
      <c r="O7" s="7">
        <v>41</v>
      </c>
      <c r="P7" s="7" t="s">
        <v>49</v>
      </c>
      <c r="Q7" t="s">
        <v>62</v>
      </c>
    </row>
    <row r="8" spans="1:17" x14ac:dyDescent="0.3">
      <c r="A8">
        <v>7</v>
      </c>
      <c r="B8">
        <v>2024</v>
      </c>
      <c r="C8" t="s">
        <v>62</v>
      </c>
      <c r="D8" t="s">
        <v>62</v>
      </c>
      <c r="E8" s="7">
        <v>6</v>
      </c>
      <c r="F8" t="s">
        <v>28</v>
      </c>
      <c r="G8" t="s">
        <v>12</v>
      </c>
      <c r="H8" t="s">
        <v>37</v>
      </c>
      <c r="I8" t="s">
        <v>106</v>
      </c>
      <c r="J8" s="1">
        <v>45465</v>
      </c>
      <c r="K8" s="20">
        <v>13</v>
      </c>
      <c r="L8" s="1">
        <v>45483</v>
      </c>
      <c r="M8" s="7">
        <v>33</v>
      </c>
      <c r="N8" s="1">
        <v>45529</v>
      </c>
      <c r="O8" s="7">
        <v>45</v>
      </c>
      <c r="P8" s="7" t="s">
        <v>49</v>
      </c>
      <c r="Q8" t="s">
        <v>62</v>
      </c>
    </row>
    <row r="9" spans="1:17" x14ac:dyDescent="0.3">
      <c r="A9">
        <v>8</v>
      </c>
      <c r="B9">
        <v>2024</v>
      </c>
      <c r="C9" t="s">
        <v>62</v>
      </c>
      <c r="D9" t="s">
        <v>62</v>
      </c>
      <c r="E9" s="7">
        <v>2</v>
      </c>
      <c r="F9" t="s">
        <v>13</v>
      </c>
      <c r="G9" t="s">
        <v>14</v>
      </c>
      <c r="H9" t="s">
        <v>37</v>
      </c>
      <c r="I9" t="s">
        <v>106</v>
      </c>
      <c r="J9" s="1">
        <v>45474</v>
      </c>
      <c r="K9" s="20">
        <v>7</v>
      </c>
      <c r="L9" s="1">
        <v>45482</v>
      </c>
      <c r="M9" s="7">
        <v>31</v>
      </c>
      <c r="N9" s="1">
        <v>45524</v>
      </c>
      <c r="O9" s="7">
        <v>37</v>
      </c>
      <c r="P9" s="7" t="s">
        <v>49</v>
      </c>
      <c r="Q9" t="s">
        <v>62</v>
      </c>
    </row>
    <row r="10" spans="1:17" x14ac:dyDescent="0.3">
      <c r="A10">
        <v>9</v>
      </c>
      <c r="B10">
        <v>2024</v>
      </c>
      <c r="C10" t="s">
        <v>62</v>
      </c>
      <c r="D10" t="s">
        <v>62</v>
      </c>
      <c r="E10" s="7">
        <v>8</v>
      </c>
      <c r="F10" t="s">
        <v>9</v>
      </c>
      <c r="G10" t="s">
        <v>7</v>
      </c>
      <c r="H10" t="s">
        <v>39</v>
      </c>
      <c r="I10" t="s">
        <v>111</v>
      </c>
      <c r="J10" s="1">
        <v>45476</v>
      </c>
      <c r="K10" s="20">
        <v>11</v>
      </c>
      <c r="L10" s="1">
        <v>45490</v>
      </c>
      <c r="M10" s="7">
        <v>32</v>
      </c>
      <c r="N10" s="1">
        <v>45533</v>
      </c>
      <c r="O10" s="7">
        <v>42</v>
      </c>
      <c r="P10" s="7" t="s">
        <v>49</v>
      </c>
      <c r="Q10" t="s">
        <v>62</v>
      </c>
    </row>
    <row r="11" spans="1:17" x14ac:dyDescent="0.3">
      <c r="A11">
        <v>10</v>
      </c>
      <c r="B11">
        <v>2024</v>
      </c>
      <c r="C11" t="s">
        <v>62</v>
      </c>
      <c r="D11" t="s">
        <v>62</v>
      </c>
      <c r="E11" s="7">
        <v>6</v>
      </c>
      <c r="F11" t="s">
        <v>28</v>
      </c>
      <c r="G11" t="s">
        <v>15</v>
      </c>
      <c r="H11" t="s">
        <v>37</v>
      </c>
      <c r="I11" t="s">
        <v>106</v>
      </c>
      <c r="J11" s="1">
        <v>45480</v>
      </c>
      <c r="K11" s="20">
        <v>9</v>
      </c>
      <c r="L11" s="1">
        <v>45491</v>
      </c>
      <c r="M11" s="7">
        <v>32</v>
      </c>
      <c r="N11" s="1">
        <v>45536</v>
      </c>
      <c r="O11" s="7">
        <v>40</v>
      </c>
      <c r="P11" s="7" t="s">
        <v>49</v>
      </c>
      <c r="Q11" t="s">
        <v>62</v>
      </c>
    </row>
    <row r="12" spans="1:17" x14ac:dyDescent="0.3">
      <c r="A12">
        <v>11</v>
      </c>
      <c r="B12">
        <v>2024</v>
      </c>
      <c r="C12" t="s">
        <v>62</v>
      </c>
      <c r="D12" t="s">
        <v>62</v>
      </c>
      <c r="E12" s="7">
        <v>3</v>
      </c>
      <c r="F12" t="s">
        <v>26</v>
      </c>
      <c r="G12" t="s">
        <v>16</v>
      </c>
      <c r="H12" t="s">
        <v>38</v>
      </c>
      <c r="I12" t="s">
        <v>107</v>
      </c>
      <c r="J12" s="1">
        <v>45483</v>
      </c>
      <c r="K12" s="20">
        <v>12</v>
      </c>
      <c r="L12" s="1">
        <v>45498</v>
      </c>
      <c r="M12" s="7">
        <v>29</v>
      </c>
      <c r="N12" s="1">
        <v>45538</v>
      </c>
      <c r="O12" s="7">
        <v>40</v>
      </c>
      <c r="P12" s="7" t="s">
        <v>49</v>
      </c>
      <c r="Q12" t="s">
        <v>62</v>
      </c>
    </row>
    <row r="13" spans="1:17" x14ac:dyDescent="0.3">
      <c r="A13">
        <v>12</v>
      </c>
      <c r="B13">
        <v>2024</v>
      </c>
      <c r="C13" t="s">
        <v>62</v>
      </c>
      <c r="D13" t="s">
        <v>62</v>
      </c>
      <c r="E13" s="7">
        <v>8</v>
      </c>
      <c r="F13" t="s">
        <v>9</v>
      </c>
      <c r="G13" t="s">
        <v>7</v>
      </c>
      <c r="H13" t="s">
        <v>39</v>
      </c>
      <c r="I13" t="s">
        <v>106</v>
      </c>
      <c r="J13" s="1">
        <v>45488</v>
      </c>
      <c r="K13" s="20">
        <v>11</v>
      </c>
      <c r="L13" s="1">
        <v>45502</v>
      </c>
      <c r="M13" s="7">
        <v>34</v>
      </c>
      <c r="N13" s="1">
        <v>45547</v>
      </c>
      <c r="O13" s="7">
        <v>44</v>
      </c>
      <c r="P13" s="7" t="s">
        <v>49</v>
      </c>
      <c r="Q13" t="s">
        <v>62</v>
      </c>
    </row>
    <row r="14" spans="1:17" x14ac:dyDescent="0.3">
      <c r="A14">
        <v>13</v>
      </c>
      <c r="B14">
        <v>2024</v>
      </c>
      <c r="C14" t="s">
        <v>62</v>
      </c>
      <c r="D14" t="s">
        <v>62</v>
      </c>
      <c r="E14" s="7">
        <v>5</v>
      </c>
      <c r="F14" t="s">
        <v>17</v>
      </c>
      <c r="G14" t="s">
        <v>18</v>
      </c>
      <c r="H14" t="s">
        <v>36</v>
      </c>
      <c r="I14" t="s">
        <v>106</v>
      </c>
      <c r="J14" s="1">
        <v>45491</v>
      </c>
      <c r="K14" s="20">
        <v>12</v>
      </c>
      <c r="L14" s="1">
        <v>45506</v>
      </c>
      <c r="M14" s="7">
        <v>36</v>
      </c>
      <c r="N14" s="1">
        <v>45555</v>
      </c>
      <c r="O14" s="7">
        <v>47</v>
      </c>
      <c r="P14" s="7" t="s">
        <v>49</v>
      </c>
      <c r="Q14" t="s">
        <v>62</v>
      </c>
    </row>
    <row r="15" spans="1:17" x14ac:dyDescent="0.3">
      <c r="A15">
        <v>14</v>
      </c>
      <c r="B15">
        <v>2024</v>
      </c>
      <c r="C15" t="s">
        <v>62</v>
      </c>
      <c r="D15" t="s">
        <v>62</v>
      </c>
      <c r="E15" s="7">
        <v>7</v>
      </c>
      <c r="F15" t="s">
        <v>11</v>
      </c>
      <c r="G15" t="s">
        <v>11</v>
      </c>
      <c r="H15" t="s">
        <v>37</v>
      </c>
      <c r="I15" t="s">
        <v>111</v>
      </c>
      <c r="J15" s="1">
        <v>45495</v>
      </c>
      <c r="K15" s="20">
        <v>11</v>
      </c>
      <c r="L15" s="1">
        <v>45509</v>
      </c>
      <c r="M15" s="7">
        <v>38</v>
      </c>
      <c r="N15" s="1">
        <v>45560</v>
      </c>
      <c r="O15" s="7">
        <v>48</v>
      </c>
      <c r="P15" s="7" t="s">
        <v>49</v>
      </c>
      <c r="Q15" t="s">
        <v>62</v>
      </c>
    </row>
    <row r="16" spans="1:17" x14ac:dyDescent="0.3">
      <c r="A16">
        <v>15</v>
      </c>
      <c r="B16">
        <v>2024</v>
      </c>
      <c r="C16" t="s">
        <v>62</v>
      </c>
      <c r="D16" t="s">
        <v>62</v>
      </c>
      <c r="E16" s="7">
        <v>6</v>
      </c>
      <c r="F16" t="s">
        <v>28</v>
      </c>
      <c r="G16" t="s">
        <v>19</v>
      </c>
      <c r="H16" t="s">
        <v>37</v>
      </c>
      <c r="I16" t="s">
        <v>106</v>
      </c>
      <c r="J16" s="1">
        <v>45505</v>
      </c>
      <c r="K16" s="20">
        <v>11</v>
      </c>
      <c r="L16" s="1">
        <v>45519</v>
      </c>
      <c r="M16" s="7">
        <v>33</v>
      </c>
      <c r="N16" s="1">
        <v>45565</v>
      </c>
      <c r="O16" s="7">
        <v>43</v>
      </c>
      <c r="P16" s="7" t="s">
        <v>49</v>
      </c>
      <c r="Q16" t="s">
        <v>62</v>
      </c>
    </row>
    <row r="17" spans="1:17" x14ac:dyDescent="0.3">
      <c r="A17">
        <v>16</v>
      </c>
      <c r="B17">
        <v>2024</v>
      </c>
      <c r="C17" t="s">
        <v>62</v>
      </c>
      <c r="D17" t="s">
        <v>62</v>
      </c>
      <c r="E17" s="7">
        <v>8</v>
      </c>
      <c r="F17" t="s">
        <v>9</v>
      </c>
      <c r="G17" t="s">
        <v>7</v>
      </c>
      <c r="H17" t="s">
        <v>39</v>
      </c>
      <c r="I17" t="s">
        <v>106</v>
      </c>
      <c r="J17" s="1">
        <v>45509</v>
      </c>
      <c r="K17" s="20">
        <v>12</v>
      </c>
      <c r="L17" s="1">
        <v>45524</v>
      </c>
      <c r="M17" s="7">
        <v>34</v>
      </c>
      <c r="N17" s="1">
        <v>45570</v>
      </c>
      <c r="O17" s="7">
        <v>45</v>
      </c>
      <c r="P17" s="7" t="s">
        <v>49</v>
      </c>
      <c r="Q17" t="s">
        <v>62</v>
      </c>
    </row>
    <row r="18" spans="1:17" x14ac:dyDescent="0.3">
      <c r="A18">
        <v>17</v>
      </c>
      <c r="B18">
        <v>2024</v>
      </c>
      <c r="C18" t="s">
        <v>62</v>
      </c>
      <c r="D18" t="s">
        <v>62</v>
      </c>
      <c r="E18" s="7">
        <v>5</v>
      </c>
      <c r="F18" t="s">
        <v>17</v>
      </c>
      <c r="G18" t="s">
        <v>20</v>
      </c>
      <c r="H18" t="s">
        <v>37</v>
      </c>
      <c r="I18" t="s">
        <v>107</v>
      </c>
      <c r="J18" s="1">
        <v>45514</v>
      </c>
      <c r="K18" s="20">
        <v>15</v>
      </c>
      <c r="L18" s="1">
        <v>45536</v>
      </c>
      <c r="M18" s="7">
        <v>35</v>
      </c>
      <c r="N18" s="1">
        <v>45583</v>
      </c>
      <c r="O18" s="7">
        <v>50</v>
      </c>
      <c r="P18" s="7" t="s">
        <v>49</v>
      </c>
      <c r="Q18" t="s">
        <v>62</v>
      </c>
    </row>
    <row r="19" spans="1:17" x14ac:dyDescent="0.3">
      <c r="A19">
        <v>18</v>
      </c>
      <c r="B19">
        <v>2024</v>
      </c>
      <c r="C19" t="s">
        <v>62</v>
      </c>
      <c r="D19" t="s">
        <v>62</v>
      </c>
      <c r="E19" s="7">
        <v>6</v>
      </c>
      <c r="F19" t="s">
        <v>28</v>
      </c>
      <c r="G19" t="s">
        <v>21</v>
      </c>
      <c r="H19" t="s">
        <v>38</v>
      </c>
      <c r="I19" t="s">
        <v>106</v>
      </c>
      <c r="J19" s="1">
        <v>45519</v>
      </c>
      <c r="K19" s="20">
        <v>12</v>
      </c>
      <c r="L19" s="1">
        <v>45534</v>
      </c>
      <c r="M19" s="7">
        <v>36</v>
      </c>
      <c r="N19" s="1">
        <v>45585</v>
      </c>
      <c r="O19" s="7">
        <v>47</v>
      </c>
      <c r="P19" s="7" t="s">
        <v>49</v>
      </c>
      <c r="Q19" t="s">
        <v>62</v>
      </c>
    </row>
    <row r="20" spans="1:17" x14ac:dyDescent="0.3">
      <c r="A20">
        <v>19</v>
      </c>
      <c r="B20">
        <v>2024</v>
      </c>
      <c r="C20" t="s">
        <v>62</v>
      </c>
      <c r="D20" t="s">
        <v>62</v>
      </c>
      <c r="E20" s="7">
        <v>8</v>
      </c>
      <c r="F20" t="s">
        <v>9</v>
      </c>
      <c r="G20" t="s">
        <v>7</v>
      </c>
      <c r="H20" t="s">
        <v>39</v>
      </c>
      <c r="I20" t="s">
        <v>111</v>
      </c>
      <c r="J20" s="1">
        <v>45524</v>
      </c>
      <c r="K20" s="20">
        <v>13</v>
      </c>
      <c r="L20" s="1">
        <v>45540</v>
      </c>
      <c r="M20" s="7">
        <v>37</v>
      </c>
      <c r="N20" s="1">
        <v>45590</v>
      </c>
      <c r="O20" s="7">
        <v>49</v>
      </c>
      <c r="P20" s="7" t="s">
        <v>49</v>
      </c>
      <c r="Q20" t="s">
        <v>62</v>
      </c>
    </row>
    <row r="21" spans="1:17" x14ac:dyDescent="0.3">
      <c r="A21">
        <v>20</v>
      </c>
      <c r="B21">
        <v>2024</v>
      </c>
      <c r="C21" t="s">
        <v>62</v>
      </c>
      <c r="D21" t="s">
        <v>62</v>
      </c>
      <c r="E21" s="7">
        <v>2</v>
      </c>
      <c r="F21" t="s">
        <v>13</v>
      </c>
      <c r="G21" t="s">
        <v>22</v>
      </c>
      <c r="H21" t="s">
        <v>37</v>
      </c>
      <c r="I21" t="s">
        <v>109</v>
      </c>
      <c r="J21" s="1">
        <v>45529</v>
      </c>
      <c r="K21" s="20">
        <v>12</v>
      </c>
      <c r="L21" s="1">
        <v>45545</v>
      </c>
      <c r="M21" s="7">
        <v>39</v>
      </c>
      <c r="N21" s="1">
        <v>45597</v>
      </c>
      <c r="O21" s="7">
        <v>50</v>
      </c>
      <c r="P21" s="7" t="s">
        <v>49</v>
      </c>
      <c r="Q21" t="s">
        <v>62</v>
      </c>
    </row>
    <row r="22" spans="1:17" x14ac:dyDescent="0.3">
      <c r="A22">
        <v>1</v>
      </c>
      <c r="B22">
        <v>2025</v>
      </c>
      <c r="C22" t="s">
        <v>62</v>
      </c>
      <c r="D22" t="s">
        <v>62</v>
      </c>
      <c r="E22" s="7">
        <v>6</v>
      </c>
      <c r="F22" t="s">
        <v>28</v>
      </c>
      <c r="G22" t="s">
        <v>5</v>
      </c>
      <c r="H22" t="s">
        <v>37</v>
      </c>
      <c r="I22" t="s">
        <v>106</v>
      </c>
      <c r="J22" s="1">
        <v>45811</v>
      </c>
      <c r="K22" s="20">
        <v>0</v>
      </c>
      <c r="L22" s="1">
        <v>45811</v>
      </c>
      <c r="M22" s="7">
        <v>34</v>
      </c>
      <c r="N22" s="1">
        <v>45845</v>
      </c>
      <c r="O22" s="7">
        <v>34</v>
      </c>
      <c r="P22" s="7" t="s">
        <v>49</v>
      </c>
      <c r="Q22" t="s">
        <v>62</v>
      </c>
    </row>
    <row r="23" spans="1:17" x14ac:dyDescent="0.3">
      <c r="A23">
        <v>2</v>
      </c>
      <c r="B23">
        <v>2025</v>
      </c>
      <c r="C23" t="s">
        <v>62</v>
      </c>
      <c r="D23" t="s">
        <v>62</v>
      </c>
      <c r="E23" s="7">
        <v>8</v>
      </c>
      <c r="F23" t="s">
        <v>9</v>
      </c>
      <c r="G23" t="s">
        <v>7</v>
      </c>
      <c r="H23" t="s">
        <v>60</v>
      </c>
      <c r="I23" t="s">
        <v>109</v>
      </c>
      <c r="J23" s="1">
        <v>45813</v>
      </c>
      <c r="K23" s="20">
        <v>0</v>
      </c>
      <c r="L23" s="1">
        <v>45813</v>
      </c>
      <c r="M23" s="7">
        <v>32</v>
      </c>
      <c r="N23" s="1">
        <v>45845</v>
      </c>
      <c r="O23" s="7">
        <v>32</v>
      </c>
      <c r="P23" s="7" t="s">
        <v>49</v>
      </c>
      <c r="Q23" t="s">
        <v>62</v>
      </c>
    </row>
    <row r="24" spans="1:17" x14ac:dyDescent="0.3">
      <c r="A24">
        <v>3</v>
      </c>
      <c r="B24">
        <v>2025</v>
      </c>
      <c r="C24" t="s">
        <v>62</v>
      </c>
      <c r="D24" t="s">
        <v>62</v>
      </c>
      <c r="E24" s="7">
        <v>5</v>
      </c>
      <c r="F24" t="s">
        <v>17</v>
      </c>
      <c r="G24" t="s">
        <v>8</v>
      </c>
      <c r="H24" t="s">
        <v>36</v>
      </c>
      <c r="I24" t="s">
        <v>110</v>
      </c>
      <c r="J24" s="1">
        <v>45816</v>
      </c>
      <c r="K24" s="20">
        <v>0</v>
      </c>
      <c r="L24" s="1">
        <v>45816</v>
      </c>
      <c r="M24" s="7">
        <v>36</v>
      </c>
      <c r="N24" s="1">
        <v>45852</v>
      </c>
      <c r="O24" s="7">
        <v>36</v>
      </c>
      <c r="P24" s="7" t="s">
        <v>49</v>
      </c>
      <c r="Q24" t="s">
        <v>62</v>
      </c>
    </row>
    <row r="25" spans="1:17" x14ac:dyDescent="0.3">
      <c r="A25">
        <v>4</v>
      </c>
      <c r="B25">
        <v>2025</v>
      </c>
      <c r="C25" t="s">
        <v>62</v>
      </c>
      <c r="D25" t="s">
        <v>62</v>
      </c>
      <c r="E25" s="7">
        <v>8</v>
      </c>
      <c r="F25" t="s">
        <v>9</v>
      </c>
      <c r="G25" t="s">
        <v>7</v>
      </c>
      <c r="H25" t="s">
        <v>60</v>
      </c>
      <c r="I25" t="s">
        <v>111</v>
      </c>
      <c r="J25" s="1">
        <v>45818</v>
      </c>
      <c r="K25" s="20">
        <v>0</v>
      </c>
      <c r="L25" s="1">
        <v>45818</v>
      </c>
      <c r="M25" s="7">
        <v>28</v>
      </c>
      <c r="N25" s="1">
        <v>45846</v>
      </c>
      <c r="O25" s="7">
        <v>28</v>
      </c>
      <c r="P25" s="7" t="s">
        <v>49</v>
      </c>
      <c r="Q25" t="s">
        <v>62</v>
      </c>
    </row>
    <row r="26" spans="1:17" x14ac:dyDescent="0.3">
      <c r="A26">
        <v>5</v>
      </c>
      <c r="B26">
        <v>2025</v>
      </c>
      <c r="C26" t="s">
        <v>62</v>
      </c>
      <c r="D26" t="s">
        <v>62</v>
      </c>
      <c r="E26" s="7">
        <v>5</v>
      </c>
      <c r="F26" t="s">
        <v>17</v>
      </c>
      <c r="G26" t="s">
        <v>10</v>
      </c>
      <c r="H26" t="s">
        <v>36</v>
      </c>
      <c r="I26" t="s">
        <v>107</v>
      </c>
      <c r="J26" s="1">
        <v>45822</v>
      </c>
      <c r="K26" s="20">
        <v>0</v>
      </c>
      <c r="L26" s="1">
        <v>45822</v>
      </c>
      <c r="M26" s="7">
        <v>33</v>
      </c>
      <c r="N26" s="1">
        <v>45855</v>
      </c>
      <c r="O26" s="7">
        <v>33</v>
      </c>
      <c r="P26" s="7" t="s">
        <v>49</v>
      </c>
      <c r="Q26" t="s">
        <v>62</v>
      </c>
    </row>
    <row r="27" spans="1:17" x14ac:dyDescent="0.3">
      <c r="A27">
        <v>6</v>
      </c>
      <c r="B27">
        <v>2025</v>
      </c>
      <c r="C27" t="s">
        <v>62</v>
      </c>
      <c r="D27" t="s">
        <v>62</v>
      </c>
      <c r="E27" s="7">
        <v>7</v>
      </c>
      <c r="F27" t="s">
        <v>11</v>
      </c>
      <c r="G27" t="s">
        <v>11</v>
      </c>
      <c r="H27" t="s">
        <v>37</v>
      </c>
      <c r="I27" t="s">
        <v>106</v>
      </c>
      <c r="J27" s="1">
        <v>45826</v>
      </c>
      <c r="K27" s="20">
        <v>0</v>
      </c>
      <c r="L27" s="1">
        <v>45826</v>
      </c>
      <c r="M27" s="7">
        <v>35</v>
      </c>
      <c r="N27" s="1">
        <v>45861</v>
      </c>
      <c r="O27" s="7">
        <v>35</v>
      </c>
      <c r="P27" s="7" t="s">
        <v>49</v>
      </c>
      <c r="Q27" t="s">
        <v>62</v>
      </c>
    </row>
    <row r="28" spans="1:17" x14ac:dyDescent="0.3">
      <c r="A28">
        <v>7</v>
      </c>
      <c r="B28">
        <v>2025</v>
      </c>
      <c r="C28" t="s">
        <v>62</v>
      </c>
      <c r="D28" t="s">
        <v>62</v>
      </c>
      <c r="E28" s="7">
        <v>6</v>
      </c>
      <c r="F28" t="s">
        <v>28</v>
      </c>
      <c r="G28" t="s">
        <v>12</v>
      </c>
      <c r="H28" t="s">
        <v>37</v>
      </c>
      <c r="I28" t="s">
        <v>109</v>
      </c>
      <c r="J28" s="1">
        <v>45828</v>
      </c>
      <c r="K28" s="20">
        <v>0</v>
      </c>
      <c r="L28" s="1">
        <v>45828</v>
      </c>
      <c r="M28" s="7">
        <v>39</v>
      </c>
      <c r="N28" s="1">
        <v>45867</v>
      </c>
      <c r="O28" s="7">
        <v>39</v>
      </c>
      <c r="P28" s="7" t="s">
        <v>49</v>
      </c>
      <c r="Q28" t="s">
        <v>62</v>
      </c>
    </row>
    <row r="29" spans="1:17" x14ac:dyDescent="0.3">
      <c r="A29">
        <v>8</v>
      </c>
      <c r="B29">
        <v>2025</v>
      </c>
      <c r="C29" t="s">
        <v>62</v>
      </c>
      <c r="D29" t="s">
        <v>62</v>
      </c>
      <c r="E29" s="7">
        <v>8</v>
      </c>
      <c r="F29" t="s">
        <v>9</v>
      </c>
      <c r="G29" t="s">
        <v>7</v>
      </c>
      <c r="H29" t="s">
        <v>60</v>
      </c>
      <c r="I29" t="s">
        <v>110</v>
      </c>
      <c r="J29" s="1">
        <v>45833</v>
      </c>
      <c r="K29" s="20">
        <v>0</v>
      </c>
      <c r="L29" s="1">
        <v>45833</v>
      </c>
      <c r="M29" s="7">
        <v>31</v>
      </c>
      <c r="N29" s="1">
        <v>45864</v>
      </c>
      <c r="O29" s="7">
        <v>31</v>
      </c>
      <c r="P29" s="7" t="s">
        <v>49</v>
      </c>
      <c r="Q29" t="s">
        <v>62</v>
      </c>
    </row>
    <row r="30" spans="1:17" x14ac:dyDescent="0.3">
      <c r="A30">
        <v>9</v>
      </c>
      <c r="B30">
        <v>2025</v>
      </c>
      <c r="C30" t="s">
        <v>62</v>
      </c>
      <c r="D30" t="s">
        <v>62</v>
      </c>
      <c r="E30" s="7">
        <v>6</v>
      </c>
      <c r="F30" t="s">
        <v>28</v>
      </c>
      <c r="G30" t="s">
        <v>15</v>
      </c>
      <c r="H30" t="s">
        <v>37</v>
      </c>
      <c r="I30" t="s">
        <v>111</v>
      </c>
      <c r="J30" s="1">
        <v>45836</v>
      </c>
      <c r="K30" s="20">
        <v>0</v>
      </c>
      <c r="L30" s="1">
        <v>45836</v>
      </c>
      <c r="M30" s="7">
        <v>34</v>
      </c>
      <c r="N30" s="1">
        <v>45870</v>
      </c>
      <c r="O30" s="7">
        <v>34</v>
      </c>
      <c r="P30" s="7" t="s">
        <v>49</v>
      </c>
      <c r="Q30" t="s">
        <v>62</v>
      </c>
    </row>
    <row r="31" spans="1:17" x14ac:dyDescent="0.3">
      <c r="A31">
        <v>10</v>
      </c>
      <c r="B31">
        <v>2025</v>
      </c>
      <c r="C31" t="s">
        <v>62</v>
      </c>
      <c r="D31" t="s">
        <v>62</v>
      </c>
      <c r="E31" s="7">
        <v>3</v>
      </c>
      <c r="F31" t="s">
        <v>26</v>
      </c>
      <c r="G31" t="s">
        <v>16</v>
      </c>
      <c r="H31" t="s">
        <v>38</v>
      </c>
      <c r="I31" t="s">
        <v>107</v>
      </c>
      <c r="J31" s="1">
        <v>45839</v>
      </c>
      <c r="K31" s="20">
        <v>0</v>
      </c>
      <c r="L31" s="1">
        <v>45839</v>
      </c>
      <c r="M31" s="7">
        <v>33</v>
      </c>
      <c r="N31" s="1">
        <v>45872</v>
      </c>
      <c r="O31" s="7">
        <v>33</v>
      </c>
      <c r="P31" s="7" t="s">
        <v>49</v>
      </c>
      <c r="Q31" t="s">
        <v>62</v>
      </c>
    </row>
    <row r="32" spans="1:17" x14ac:dyDescent="0.3">
      <c r="A32">
        <v>11</v>
      </c>
      <c r="B32">
        <v>2025</v>
      </c>
      <c r="C32" t="s">
        <v>62</v>
      </c>
      <c r="D32" t="s">
        <v>62</v>
      </c>
      <c r="E32" s="7">
        <v>8</v>
      </c>
      <c r="F32" t="s">
        <v>9</v>
      </c>
      <c r="G32" t="s">
        <v>7</v>
      </c>
      <c r="H32" t="s">
        <v>60</v>
      </c>
      <c r="I32" t="s">
        <v>106</v>
      </c>
      <c r="J32" s="1">
        <v>45843</v>
      </c>
      <c r="K32" s="20">
        <v>0</v>
      </c>
      <c r="L32" s="1">
        <v>45843</v>
      </c>
      <c r="M32" s="7">
        <v>36</v>
      </c>
      <c r="N32" s="1">
        <v>45879</v>
      </c>
      <c r="O32" s="7">
        <v>36</v>
      </c>
      <c r="P32" s="7" t="s">
        <v>49</v>
      </c>
      <c r="Q32" t="s">
        <v>62</v>
      </c>
    </row>
    <row r="33" spans="1:17" x14ac:dyDescent="0.3">
      <c r="A33">
        <v>12</v>
      </c>
      <c r="B33">
        <v>2025</v>
      </c>
      <c r="C33" t="s">
        <v>62</v>
      </c>
      <c r="D33" t="s">
        <v>62</v>
      </c>
      <c r="E33" s="7">
        <v>7</v>
      </c>
      <c r="F33" t="s">
        <v>11</v>
      </c>
      <c r="G33" t="s">
        <v>11</v>
      </c>
      <c r="H33" t="s">
        <v>37</v>
      </c>
      <c r="I33" t="s">
        <v>109</v>
      </c>
      <c r="J33" s="1">
        <v>45846</v>
      </c>
      <c r="K33" s="20">
        <v>0</v>
      </c>
      <c r="L33" s="1">
        <v>45846</v>
      </c>
      <c r="M33" s="7">
        <v>34</v>
      </c>
      <c r="N33" s="1">
        <v>45880</v>
      </c>
      <c r="O33" s="7">
        <v>34</v>
      </c>
      <c r="P33" s="7" t="s">
        <v>49</v>
      </c>
      <c r="Q33" t="s">
        <v>62</v>
      </c>
    </row>
    <row r="34" spans="1:17" x14ac:dyDescent="0.3">
      <c r="A34">
        <v>13</v>
      </c>
      <c r="B34">
        <v>2025</v>
      </c>
      <c r="C34" t="s">
        <v>62</v>
      </c>
      <c r="D34" t="s">
        <v>62</v>
      </c>
      <c r="E34" s="7">
        <v>6</v>
      </c>
      <c r="F34" t="s">
        <v>28</v>
      </c>
      <c r="G34" t="s">
        <v>19</v>
      </c>
      <c r="H34" t="s">
        <v>37</v>
      </c>
      <c r="I34" t="s">
        <v>110</v>
      </c>
      <c r="J34" s="1">
        <v>45850</v>
      </c>
      <c r="K34" s="20">
        <v>0</v>
      </c>
      <c r="L34" s="1">
        <v>45850</v>
      </c>
      <c r="M34" s="7">
        <v>38</v>
      </c>
      <c r="N34" s="1">
        <v>45888</v>
      </c>
      <c r="O34" s="7">
        <v>38</v>
      </c>
      <c r="P34" s="7" t="s">
        <v>49</v>
      </c>
      <c r="Q34" t="s">
        <v>62</v>
      </c>
    </row>
    <row r="35" spans="1:17" x14ac:dyDescent="0.3">
      <c r="A35">
        <v>14</v>
      </c>
      <c r="B35">
        <v>2025</v>
      </c>
      <c r="C35" t="s">
        <v>62</v>
      </c>
      <c r="D35" t="s">
        <v>62</v>
      </c>
      <c r="E35" s="7">
        <v>8</v>
      </c>
      <c r="F35" t="s">
        <v>9</v>
      </c>
      <c r="G35" t="s">
        <v>7</v>
      </c>
      <c r="H35" t="s">
        <v>60</v>
      </c>
      <c r="I35" t="s">
        <v>111</v>
      </c>
      <c r="J35" s="1">
        <v>45853</v>
      </c>
      <c r="K35" s="20">
        <v>0</v>
      </c>
      <c r="L35" s="1">
        <v>45853</v>
      </c>
      <c r="M35" s="7">
        <v>32</v>
      </c>
      <c r="N35" s="1">
        <v>45885</v>
      </c>
      <c r="O35" s="7">
        <v>32</v>
      </c>
      <c r="P35" s="7" t="s">
        <v>49</v>
      </c>
      <c r="Q35" t="s">
        <v>62</v>
      </c>
    </row>
    <row r="36" spans="1:17" x14ac:dyDescent="0.3">
      <c r="A36">
        <v>15</v>
      </c>
      <c r="B36">
        <v>2025</v>
      </c>
      <c r="C36" t="s">
        <v>62</v>
      </c>
      <c r="D36" t="s">
        <v>62</v>
      </c>
      <c r="E36" s="7">
        <v>5</v>
      </c>
      <c r="F36" t="s">
        <v>17</v>
      </c>
      <c r="G36" t="s">
        <v>20</v>
      </c>
      <c r="H36" t="s">
        <v>37</v>
      </c>
      <c r="I36" t="s">
        <v>107</v>
      </c>
      <c r="J36" s="1">
        <v>45858</v>
      </c>
      <c r="K36" s="20">
        <v>0</v>
      </c>
      <c r="L36" s="1">
        <v>45858</v>
      </c>
      <c r="M36" s="7">
        <v>40</v>
      </c>
      <c r="N36" s="1">
        <v>45898</v>
      </c>
      <c r="O36" s="7">
        <v>40</v>
      </c>
      <c r="P36" s="7" t="s">
        <v>49</v>
      </c>
      <c r="Q36" t="s">
        <v>62</v>
      </c>
    </row>
    <row r="37" spans="1:17" x14ac:dyDescent="0.3">
      <c r="A37">
        <v>16</v>
      </c>
      <c r="B37">
        <v>2025</v>
      </c>
      <c r="C37" t="s">
        <v>62</v>
      </c>
      <c r="D37" t="s">
        <v>62</v>
      </c>
      <c r="E37" s="7">
        <v>6</v>
      </c>
      <c r="F37" t="s">
        <v>28</v>
      </c>
      <c r="G37" t="s">
        <v>21</v>
      </c>
      <c r="H37" t="s">
        <v>38</v>
      </c>
      <c r="I37" t="s">
        <v>106</v>
      </c>
      <c r="J37" s="1">
        <v>45863</v>
      </c>
      <c r="K37" s="20">
        <v>0</v>
      </c>
      <c r="L37" s="1">
        <v>45863</v>
      </c>
      <c r="M37" s="7">
        <v>37</v>
      </c>
      <c r="N37" s="1">
        <v>45900</v>
      </c>
      <c r="O37" s="7">
        <v>37</v>
      </c>
      <c r="P37" s="7" t="s">
        <v>49</v>
      </c>
      <c r="Q37" t="s">
        <v>62</v>
      </c>
    </row>
    <row r="38" spans="1:17" x14ac:dyDescent="0.3">
      <c r="A38">
        <v>17</v>
      </c>
      <c r="B38">
        <v>2025</v>
      </c>
      <c r="C38" t="s">
        <v>62</v>
      </c>
      <c r="D38" t="s">
        <v>62</v>
      </c>
      <c r="E38" s="7">
        <v>8</v>
      </c>
      <c r="F38" t="s">
        <v>9</v>
      </c>
      <c r="G38" t="s">
        <v>7</v>
      </c>
      <c r="H38" t="s">
        <v>60</v>
      </c>
      <c r="I38" t="s">
        <v>109</v>
      </c>
      <c r="J38" s="1">
        <v>45866</v>
      </c>
      <c r="K38" s="20">
        <v>0</v>
      </c>
      <c r="L38" s="1">
        <v>45866</v>
      </c>
      <c r="M38" s="7">
        <v>35</v>
      </c>
      <c r="N38" s="1">
        <v>45901</v>
      </c>
      <c r="O38" s="7">
        <v>35</v>
      </c>
      <c r="P38" s="7" t="s">
        <v>49</v>
      </c>
      <c r="Q38" t="s">
        <v>62</v>
      </c>
    </row>
    <row r="39" spans="1:17" x14ac:dyDescent="0.3">
      <c r="A39">
        <v>18</v>
      </c>
      <c r="B39">
        <v>2025</v>
      </c>
      <c r="C39" t="s">
        <v>62</v>
      </c>
      <c r="D39" t="s">
        <v>62</v>
      </c>
      <c r="E39" s="7">
        <v>2</v>
      </c>
      <c r="F39" t="s">
        <v>13</v>
      </c>
      <c r="G39" t="s">
        <v>22</v>
      </c>
      <c r="H39" t="s">
        <v>37</v>
      </c>
      <c r="I39" t="s">
        <v>110</v>
      </c>
      <c r="J39" s="1">
        <v>45870</v>
      </c>
      <c r="K39" s="20">
        <v>0</v>
      </c>
      <c r="L39" s="1">
        <v>45870</v>
      </c>
      <c r="M39" s="7">
        <v>39</v>
      </c>
      <c r="N39" s="1">
        <v>45909</v>
      </c>
      <c r="O39" s="7">
        <v>39</v>
      </c>
      <c r="P39" s="7" t="s">
        <v>49</v>
      </c>
      <c r="Q39" t="s">
        <v>62</v>
      </c>
    </row>
    <row r="40" spans="1:17" x14ac:dyDescent="0.3">
      <c r="A40">
        <v>19</v>
      </c>
      <c r="B40">
        <v>2025</v>
      </c>
      <c r="C40" t="s">
        <v>62</v>
      </c>
      <c r="D40" t="s">
        <v>62</v>
      </c>
      <c r="E40" s="7">
        <v>6</v>
      </c>
      <c r="F40" t="s">
        <v>28</v>
      </c>
      <c r="G40" t="s">
        <v>15</v>
      </c>
      <c r="H40" t="s">
        <v>37</v>
      </c>
      <c r="I40" t="s">
        <v>111</v>
      </c>
      <c r="J40" s="1">
        <v>45874</v>
      </c>
      <c r="K40" s="20">
        <v>0</v>
      </c>
      <c r="L40" s="1">
        <v>45874</v>
      </c>
      <c r="M40" s="7">
        <v>33</v>
      </c>
      <c r="N40" s="1">
        <v>45907</v>
      </c>
      <c r="O40" s="7">
        <v>33</v>
      </c>
      <c r="P40" s="7" t="s">
        <v>49</v>
      </c>
      <c r="Q40" t="s">
        <v>62</v>
      </c>
    </row>
    <row r="41" spans="1:17" x14ac:dyDescent="0.3">
      <c r="A41">
        <v>20</v>
      </c>
      <c r="B41">
        <v>2025</v>
      </c>
      <c r="C41" t="s">
        <v>62</v>
      </c>
      <c r="D41" t="s">
        <v>62</v>
      </c>
      <c r="E41" s="7">
        <v>5</v>
      </c>
      <c r="F41" t="s">
        <v>17</v>
      </c>
      <c r="G41" t="s">
        <v>18</v>
      </c>
      <c r="H41" t="s">
        <v>36</v>
      </c>
      <c r="I41" t="s">
        <v>109</v>
      </c>
      <c r="J41" s="1">
        <v>45879</v>
      </c>
      <c r="K41" s="20">
        <v>0</v>
      </c>
      <c r="L41" s="1">
        <v>45879</v>
      </c>
      <c r="M41" s="7">
        <v>36</v>
      </c>
      <c r="N41" s="1">
        <v>45915</v>
      </c>
      <c r="O41" s="7">
        <v>36</v>
      </c>
      <c r="P41" s="7" t="s">
        <v>49</v>
      </c>
      <c r="Q41" t="s">
        <v>62</v>
      </c>
    </row>
    <row r="42" spans="1:17" x14ac:dyDescent="0.3">
      <c r="A42">
        <v>21</v>
      </c>
      <c r="B42">
        <v>2025</v>
      </c>
      <c r="C42" t="s">
        <v>62</v>
      </c>
      <c r="D42" t="s">
        <v>62</v>
      </c>
      <c r="E42" s="7">
        <v>8</v>
      </c>
      <c r="F42" t="s">
        <v>9</v>
      </c>
      <c r="G42" t="s">
        <v>7</v>
      </c>
      <c r="H42" t="s">
        <v>60</v>
      </c>
      <c r="I42" t="s">
        <v>106</v>
      </c>
      <c r="J42" s="1">
        <v>45884</v>
      </c>
      <c r="K42" s="20">
        <v>0</v>
      </c>
      <c r="L42" s="1">
        <v>45884</v>
      </c>
      <c r="M42" s="7">
        <v>34</v>
      </c>
      <c r="N42" s="1">
        <v>45918</v>
      </c>
      <c r="O42" s="7">
        <v>34</v>
      </c>
      <c r="P42" s="7" t="s">
        <v>49</v>
      </c>
      <c r="Q42" t="s">
        <v>62</v>
      </c>
    </row>
    <row r="43" spans="1:17" x14ac:dyDescent="0.3">
      <c r="A43">
        <v>22</v>
      </c>
      <c r="B43">
        <v>2025</v>
      </c>
      <c r="C43" t="s">
        <v>62</v>
      </c>
      <c r="D43" t="s">
        <v>62</v>
      </c>
      <c r="E43" s="7">
        <v>7</v>
      </c>
      <c r="F43" t="s">
        <v>11</v>
      </c>
      <c r="G43" t="s">
        <v>11</v>
      </c>
      <c r="H43" t="s">
        <v>37</v>
      </c>
      <c r="I43" t="s">
        <v>107</v>
      </c>
      <c r="J43" s="1">
        <v>45889</v>
      </c>
      <c r="K43" s="20">
        <v>0</v>
      </c>
      <c r="L43" s="1">
        <v>45889</v>
      </c>
      <c r="M43" s="7">
        <v>38</v>
      </c>
      <c r="N43" s="1">
        <v>45927</v>
      </c>
      <c r="O43" s="7">
        <v>38</v>
      </c>
      <c r="P43" s="7" t="s">
        <v>49</v>
      </c>
      <c r="Q43" t="s">
        <v>62</v>
      </c>
    </row>
    <row r="44" spans="1:17" x14ac:dyDescent="0.3">
      <c r="A44">
        <v>23</v>
      </c>
      <c r="B44">
        <v>2025</v>
      </c>
      <c r="C44" t="s">
        <v>62</v>
      </c>
      <c r="D44" t="s">
        <v>62</v>
      </c>
      <c r="E44" s="7">
        <v>6</v>
      </c>
      <c r="F44" t="s">
        <v>28</v>
      </c>
      <c r="G44" t="s">
        <v>12</v>
      </c>
      <c r="H44" t="s">
        <v>37</v>
      </c>
      <c r="I44" t="s">
        <v>110</v>
      </c>
      <c r="J44" s="1">
        <v>45894</v>
      </c>
      <c r="K44" s="20">
        <v>0</v>
      </c>
      <c r="L44" s="1">
        <v>45894</v>
      </c>
      <c r="M44" s="7">
        <v>40</v>
      </c>
      <c r="N44" s="1">
        <v>45934</v>
      </c>
      <c r="O44" s="7">
        <v>40</v>
      </c>
      <c r="P44" s="7" t="s">
        <v>49</v>
      </c>
      <c r="Q44" t="s">
        <v>62</v>
      </c>
    </row>
    <row r="45" spans="1:17" x14ac:dyDescent="0.3">
      <c r="F45"/>
      <c r="I45" s="1"/>
      <c r="K45" s="1"/>
      <c r="M45" s="1"/>
    </row>
    <row r="46" spans="1:17" x14ac:dyDescent="0.3">
      <c r="F46"/>
      <c r="I46" s="1"/>
      <c r="K46" s="1"/>
      <c r="M46" s="1"/>
    </row>
    <row r="47" spans="1:17" x14ac:dyDescent="0.3">
      <c r="F47"/>
      <c r="I47" s="1"/>
      <c r="K47" s="1"/>
      <c r="M47" s="1"/>
    </row>
  </sheetData>
  <conditionalFormatting sqref="D1:XFD2 A1:C1048576 D3:D44 E3:XFD1048576">
    <cfRule type="containsBlanks" priority="3">
      <formula>LEN(TRIM(A1))=0</formula>
    </cfRule>
  </conditionalFormatting>
  <conditionalFormatting sqref="Q15:R15">
    <cfRule type="containsBlanks" dxfId="0" priority="1">
      <formula>LEN(TRIM(Q15))=0</formula>
    </cfRule>
  </conditionalFormatting>
  <pageMargins left="0.7" right="0.7" top="0.75" bottom="0.75" header="0.3" footer="0.3"/>
  <pageSetup paperSize="9" scale="36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D27320-E151-4F02-8998-C979C6F338C7}">
          <x14:formula1>
            <xm:f>'Refererence Tables'!$E$3:$E$4</xm:f>
          </x14:formula1>
          <xm:sqref>P2:P44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C02A-EC54-4482-86DF-6AD1BBB46E02}">
  <sheetPr>
    <pageSetUpPr fitToPage="1"/>
  </sheetPr>
  <dimension ref="A1:F39"/>
  <sheetViews>
    <sheetView topLeftCell="A10" workbookViewId="0">
      <selection activeCell="E25" sqref="E25"/>
    </sheetView>
  </sheetViews>
  <sheetFormatPr defaultRowHeight="14.4" x14ac:dyDescent="0.3"/>
  <cols>
    <col min="1" max="1" width="41.5546875" style="7" customWidth="1"/>
    <col min="2" max="2" width="25.33203125" customWidth="1"/>
  </cols>
  <sheetData>
    <row r="1" spans="1:6" x14ac:dyDescent="0.3">
      <c r="A1" s="3" t="s">
        <v>24</v>
      </c>
      <c r="B1" s="16" t="s">
        <v>23</v>
      </c>
    </row>
    <row r="2" spans="1:6" x14ac:dyDescent="0.3">
      <c r="A2" s="4">
        <v>1</v>
      </c>
      <c r="B2" s="17" t="s">
        <v>25</v>
      </c>
    </row>
    <row r="3" spans="1:6" x14ac:dyDescent="0.3">
      <c r="A3" s="5">
        <v>2</v>
      </c>
      <c r="B3" s="18" t="s">
        <v>13</v>
      </c>
      <c r="E3" s="9" t="s">
        <v>49</v>
      </c>
      <c r="F3" s="27">
        <f>COUNTIF(Table1[Outcome], "Accepted")/COUNTA(Table1[Outcome])</f>
        <v>1</v>
      </c>
    </row>
    <row r="4" spans="1:6" x14ac:dyDescent="0.3">
      <c r="A4" s="4">
        <v>3</v>
      </c>
      <c r="B4" s="17" t="s">
        <v>26</v>
      </c>
      <c r="E4" s="9" t="s">
        <v>50</v>
      </c>
      <c r="F4" s="27">
        <f>COUNTIF(Table1[Outcome], "Rejected")/COUNTA(Table1[Outcome])</f>
        <v>0</v>
      </c>
    </row>
    <row r="5" spans="1:6" x14ac:dyDescent="0.3">
      <c r="A5" s="5">
        <v>4</v>
      </c>
      <c r="B5" s="18" t="s">
        <v>27</v>
      </c>
    </row>
    <row r="6" spans="1:6" x14ac:dyDescent="0.3">
      <c r="A6" s="4">
        <v>5</v>
      </c>
      <c r="B6" s="17" t="s">
        <v>17</v>
      </c>
    </row>
    <row r="7" spans="1:6" x14ac:dyDescent="0.3">
      <c r="A7" s="5">
        <v>6</v>
      </c>
      <c r="B7" s="18" t="s">
        <v>28</v>
      </c>
    </row>
    <row r="8" spans="1:6" x14ac:dyDescent="0.3">
      <c r="A8" s="4">
        <v>7</v>
      </c>
      <c r="B8" s="17" t="s">
        <v>11</v>
      </c>
    </row>
    <row r="9" spans="1:6" x14ac:dyDescent="0.3">
      <c r="A9" s="6">
        <v>8</v>
      </c>
      <c r="B9" s="19" t="s">
        <v>6</v>
      </c>
    </row>
    <row r="12" spans="1:6" x14ac:dyDescent="0.3">
      <c r="A12" s="8" t="s">
        <v>29</v>
      </c>
      <c r="B12" s="9" t="s">
        <v>30</v>
      </c>
    </row>
    <row r="13" spans="1:6" x14ac:dyDescent="0.3">
      <c r="A13" s="11" t="s">
        <v>112</v>
      </c>
      <c r="B13" s="10" t="s">
        <v>107</v>
      </c>
    </row>
    <row r="14" spans="1:6" x14ac:dyDescent="0.3">
      <c r="A14" s="38" t="s">
        <v>113</v>
      </c>
      <c r="B14" s="36" t="s">
        <v>107</v>
      </c>
    </row>
    <row r="15" spans="1:6" x14ac:dyDescent="0.3">
      <c r="A15" s="13" t="s">
        <v>114</v>
      </c>
      <c r="B15" s="14" t="s">
        <v>107</v>
      </c>
    </row>
    <row r="16" spans="1:6" x14ac:dyDescent="0.3">
      <c r="A16" s="13" t="s">
        <v>111</v>
      </c>
      <c r="B16" s="14" t="s">
        <v>111</v>
      </c>
    </row>
    <row r="17" spans="1:2" x14ac:dyDescent="0.3">
      <c r="A17" s="13" t="s">
        <v>115</v>
      </c>
      <c r="B17" s="14" t="s">
        <v>111</v>
      </c>
    </row>
    <row r="18" spans="1:2" x14ac:dyDescent="0.3">
      <c r="A18" s="12" t="s">
        <v>116</v>
      </c>
      <c r="B18" s="14" t="s">
        <v>106</v>
      </c>
    </row>
    <row r="19" spans="1:2" x14ac:dyDescent="0.3">
      <c r="A19" s="13" t="s">
        <v>117</v>
      </c>
      <c r="B19" s="14" t="s">
        <v>106</v>
      </c>
    </row>
    <row r="20" spans="1:2" x14ac:dyDescent="0.3">
      <c r="A20" s="13" t="s">
        <v>119</v>
      </c>
      <c r="B20" s="14" t="s">
        <v>109</v>
      </c>
    </row>
    <row r="21" spans="1:2" x14ac:dyDescent="0.3">
      <c r="A21" s="37" t="s">
        <v>118</v>
      </c>
      <c r="B21" s="15" t="s">
        <v>110</v>
      </c>
    </row>
    <row r="24" spans="1:2" x14ac:dyDescent="0.3">
      <c r="A24" s="8" t="s">
        <v>29</v>
      </c>
      <c r="B24" s="9" t="s">
        <v>35</v>
      </c>
    </row>
    <row r="25" spans="1:2" x14ac:dyDescent="0.3">
      <c r="A25" s="11" t="str" cm="1">
        <f t="array" ref="A25:A31">_xlfn.UNIQUE('DATA Cleaning'!H:H,FALSE,FALSE)</f>
        <v>Reason for referral</v>
      </c>
      <c r="B25" s="10"/>
    </row>
    <row r="26" spans="1:2" x14ac:dyDescent="0.3">
      <c r="A26" s="13" t="str">
        <v>Weakness/Instability</v>
      </c>
      <c r="B26" s="14" t="s">
        <v>37</v>
      </c>
    </row>
    <row r="27" spans="1:2" x14ac:dyDescent="0.3">
      <c r="A27" s="13" t="str">
        <v>Leg length Descrepancy</v>
      </c>
      <c r="B27" s="14" t="s">
        <v>39</v>
      </c>
    </row>
    <row r="28" spans="1:2" x14ac:dyDescent="0.3">
      <c r="A28" s="13" t="str">
        <v>Osteoarthritis</v>
      </c>
      <c r="B28" s="14" t="s">
        <v>36</v>
      </c>
    </row>
    <row r="29" spans="1:2" x14ac:dyDescent="0.3">
      <c r="A29" s="13" t="str">
        <v>Pain</v>
      </c>
      <c r="B29" s="14" t="s">
        <v>36</v>
      </c>
    </row>
    <row r="30" spans="1:2" x14ac:dyDescent="0.3">
      <c r="A30" s="13" t="str">
        <v>Leg length discrepancy</v>
      </c>
      <c r="B30" s="14" t="s">
        <v>37</v>
      </c>
    </row>
    <row r="31" spans="1:2" x14ac:dyDescent="0.3">
      <c r="A31" s="13">
        <v>0</v>
      </c>
      <c r="B31" s="14" t="s">
        <v>37</v>
      </c>
    </row>
    <row r="32" spans="1:2" x14ac:dyDescent="0.3">
      <c r="A32" s="13"/>
      <c r="B32" s="14" t="s">
        <v>37</v>
      </c>
    </row>
    <row r="33" spans="1:2" x14ac:dyDescent="0.3">
      <c r="A33" s="13"/>
      <c r="B33" s="14" t="s">
        <v>37</v>
      </c>
    </row>
    <row r="34" spans="1:2" x14ac:dyDescent="0.3">
      <c r="A34" s="13"/>
      <c r="B34" s="14" t="s">
        <v>38</v>
      </c>
    </row>
    <row r="35" spans="1:2" x14ac:dyDescent="0.3">
      <c r="A35" s="13"/>
      <c r="B35" s="14" t="s">
        <v>36</v>
      </c>
    </row>
    <row r="36" spans="1:2" x14ac:dyDescent="0.3">
      <c r="A36" s="13"/>
      <c r="B36" s="14" t="s">
        <v>37</v>
      </c>
    </row>
    <row r="37" spans="1:2" x14ac:dyDescent="0.3">
      <c r="B37" s="14" t="s">
        <v>37</v>
      </c>
    </row>
    <row r="38" spans="1:2" x14ac:dyDescent="0.3">
      <c r="B38" s="14" t="s">
        <v>38</v>
      </c>
    </row>
    <row r="39" spans="1:2" x14ac:dyDescent="0.3">
      <c r="A39" s="23"/>
      <c r="B39" s="15" t="s">
        <v>37</v>
      </c>
    </row>
  </sheetData>
  <conditionalFormatting sqref="A18">
    <cfRule type="containsBlanks" priority="1">
      <formula>LEN(TRIM(A18))=0</formula>
    </cfRule>
  </conditionalFormatting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84D7-4E66-4027-8211-98E6901D9F6F}">
  <sheetPr>
    <pageSetUpPr fitToPage="1"/>
  </sheetPr>
  <dimension ref="A3:J43"/>
  <sheetViews>
    <sheetView topLeftCell="A7" workbookViewId="0">
      <selection activeCell="E4" sqref="E4:F9"/>
    </sheetView>
  </sheetViews>
  <sheetFormatPr defaultRowHeight="14.4" x14ac:dyDescent="0.3"/>
  <cols>
    <col min="1" max="1" width="33.44140625" bestFit="1" customWidth="1"/>
    <col min="2" max="2" width="13" bestFit="1" customWidth="1"/>
    <col min="3" max="4" width="12.77734375" customWidth="1"/>
    <col min="5" max="6" width="14" bestFit="1" customWidth="1"/>
    <col min="7" max="7" width="49.44140625" bestFit="1" customWidth="1"/>
    <col min="8" max="8" width="13" bestFit="1" customWidth="1"/>
    <col min="9" max="9" width="23.77734375" bestFit="1" customWidth="1"/>
    <col min="10" max="10" width="21.77734375" customWidth="1"/>
    <col min="11" max="11" width="14.88671875" bestFit="1" customWidth="1"/>
    <col min="12" max="12" width="19.21875" bestFit="1" customWidth="1"/>
  </cols>
  <sheetData>
    <row r="3" spans="1:9" x14ac:dyDescent="0.3">
      <c r="A3" t="s">
        <v>40</v>
      </c>
      <c r="E3" s="24" t="s">
        <v>78</v>
      </c>
      <c r="F3" t="s">
        <v>45</v>
      </c>
    </row>
    <row r="4" spans="1:9" x14ac:dyDescent="0.3">
      <c r="A4" s="35">
        <v>43</v>
      </c>
      <c r="E4" s="25" t="s">
        <v>11</v>
      </c>
      <c r="F4" s="35">
        <v>5</v>
      </c>
    </row>
    <row r="5" spans="1:9" x14ac:dyDescent="0.3">
      <c r="E5" s="25" t="s">
        <v>13</v>
      </c>
      <c r="F5" s="35">
        <v>3</v>
      </c>
    </row>
    <row r="6" spans="1:9" x14ac:dyDescent="0.3">
      <c r="A6" t="s">
        <v>41</v>
      </c>
      <c r="E6" s="25" t="s">
        <v>28</v>
      </c>
      <c r="F6" s="35">
        <v>12</v>
      </c>
    </row>
    <row r="7" spans="1:9" x14ac:dyDescent="0.3">
      <c r="A7" s="7">
        <v>38.604651162790695</v>
      </c>
      <c r="E7" s="25" t="s">
        <v>17</v>
      </c>
      <c r="F7" s="35">
        <v>8</v>
      </c>
    </row>
    <row r="8" spans="1:9" x14ac:dyDescent="0.3">
      <c r="E8" s="25" t="s">
        <v>26</v>
      </c>
      <c r="F8" s="35">
        <v>2</v>
      </c>
    </row>
    <row r="9" spans="1:9" x14ac:dyDescent="0.3">
      <c r="A9" t="s">
        <v>42</v>
      </c>
      <c r="E9" s="25" t="s">
        <v>9</v>
      </c>
      <c r="F9" s="35">
        <v>13</v>
      </c>
    </row>
    <row r="10" spans="1:9" x14ac:dyDescent="0.3">
      <c r="A10" s="7">
        <v>4.9302325581395348</v>
      </c>
      <c r="E10" s="25" t="s">
        <v>44</v>
      </c>
      <c r="F10" s="35">
        <v>43</v>
      </c>
      <c r="H10" s="24" t="s">
        <v>43</v>
      </c>
      <c r="I10" t="s">
        <v>48</v>
      </c>
    </row>
    <row r="11" spans="1:9" x14ac:dyDescent="0.3">
      <c r="H11" s="25" t="s">
        <v>106</v>
      </c>
      <c r="I11" s="35">
        <v>16</v>
      </c>
    </row>
    <row r="12" spans="1:9" x14ac:dyDescent="0.3">
      <c r="A12" s="26" t="e" vm="1">
        <v>#VALUE!</v>
      </c>
      <c r="E12" s="24" t="s">
        <v>43</v>
      </c>
      <c r="F12" t="s">
        <v>56</v>
      </c>
      <c r="H12" s="25" t="s">
        <v>107</v>
      </c>
      <c r="I12" s="35">
        <v>7</v>
      </c>
    </row>
    <row r="13" spans="1:9" x14ac:dyDescent="0.3">
      <c r="E13" s="25" t="s">
        <v>39</v>
      </c>
      <c r="F13" s="35">
        <v>6</v>
      </c>
      <c r="H13" s="25" t="s">
        <v>108</v>
      </c>
      <c r="I13" s="35">
        <v>8</v>
      </c>
    </row>
    <row r="14" spans="1:9" x14ac:dyDescent="0.3">
      <c r="E14" s="25" t="s">
        <v>36</v>
      </c>
      <c r="F14" s="35">
        <v>6</v>
      </c>
      <c r="H14" s="25" t="s">
        <v>110</v>
      </c>
      <c r="I14" s="35">
        <v>6</v>
      </c>
    </row>
    <row r="15" spans="1:9" x14ac:dyDescent="0.3">
      <c r="E15" s="25" t="s">
        <v>38</v>
      </c>
      <c r="F15" s="35">
        <v>4</v>
      </c>
      <c r="H15" s="25" t="s">
        <v>109</v>
      </c>
      <c r="I15" s="35">
        <v>6</v>
      </c>
    </row>
    <row r="16" spans="1:9" x14ac:dyDescent="0.3">
      <c r="A16" s="24" t="s">
        <v>43</v>
      </c>
      <c r="B16" t="s">
        <v>53</v>
      </c>
      <c r="E16" s="25" t="s">
        <v>37</v>
      </c>
      <c r="F16" s="35">
        <v>20</v>
      </c>
      <c r="H16" s="25" t="s">
        <v>44</v>
      </c>
      <c r="I16" s="35">
        <v>43</v>
      </c>
    </row>
    <row r="17" spans="1:10" x14ac:dyDescent="0.3">
      <c r="A17" s="25" t="s">
        <v>49</v>
      </c>
      <c r="B17" s="35">
        <v>43</v>
      </c>
      <c r="E17" s="25" t="s">
        <v>60</v>
      </c>
      <c r="F17" s="35">
        <v>7</v>
      </c>
    </row>
    <row r="18" spans="1:10" x14ac:dyDescent="0.3">
      <c r="A18" s="25" t="s">
        <v>44</v>
      </c>
      <c r="B18" s="35">
        <v>43</v>
      </c>
      <c r="E18" s="25" t="s">
        <v>44</v>
      </c>
      <c r="F18" s="35">
        <v>43</v>
      </c>
    </row>
    <row r="19" spans="1:10" x14ac:dyDescent="0.3">
      <c r="E19" s="24" t="s">
        <v>43</v>
      </c>
      <c r="F19" t="s">
        <v>42</v>
      </c>
      <c r="G19" t="s">
        <v>46</v>
      </c>
    </row>
    <row r="20" spans="1:10" x14ac:dyDescent="0.3">
      <c r="E20" s="25">
        <v>23</v>
      </c>
      <c r="F20" s="7">
        <v>0</v>
      </c>
      <c r="G20" s="7">
        <v>40</v>
      </c>
    </row>
    <row r="21" spans="1:10" x14ac:dyDescent="0.3">
      <c r="E21" s="25">
        <v>22</v>
      </c>
      <c r="F21" s="7">
        <v>0</v>
      </c>
      <c r="G21" s="7">
        <v>38</v>
      </c>
    </row>
    <row r="22" spans="1:10" x14ac:dyDescent="0.3">
      <c r="E22" s="25">
        <v>21</v>
      </c>
      <c r="F22" s="7">
        <v>0</v>
      </c>
      <c r="G22" s="7">
        <v>34</v>
      </c>
    </row>
    <row r="23" spans="1:10" x14ac:dyDescent="0.3">
      <c r="A23" s="24" t="s">
        <v>43</v>
      </c>
      <c r="B23" t="s">
        <v>61</v>
      </c>
      <c r="E23" s="25">
        <v>20</v>
      </c>
      <c r="F23" s="7">
        <v>6</v>
      </c>
      <c r="G23" s="7">
        <v>37.5</v>
      </c>
    </row>
    <row r="24" spans="1:10" x14ac:dyDescent="0.3">
      <c r="A24" s="25">
        <v>2024</v>
      </c>
      <c r="B24" s="35">
        <v>20</v>
      </c>
      <c r="E24" s="25">
        <v>19</v>
      </c>
      <c r="F24" s="7">
        <v>6.5</v>
      </c>
      <c r="G24" s="7">
        <v>35</v>
      </c>
    </row>
    <row r="25" spans="1:10" x14ac:dyDescent="0.3">
      <c r="A25" s="25" t="s">
        <v>44</v>
      </c>
      <c r="B25" s="35">
        <v>20</v>
      </c>
      <c r="E25" s="25">
        <v>18</v>
      </c>
      <c r="F25" s="7">
        <v>6</v>
      </c>
      <c r="G25" s="7">
        <v>37.5</v>
      </c>
    </row>
    <row r="26" spans="1:10" x14ac:dyDescent="0.3">
      <c r="E26" s="25">
        <v>17</v>
      </c>
      <c r="F26" s="7">
        <v>7.5</v>
      </c>
      <c r="G26" s="7">
        <v>35</v>
      </c>
    </row>
    <row r="27" spans="1:10" x14ac:dyDescent="0.3">
      <c r="E27" s="25">
        <v>16</v>
      </c>
      <c r="F27" s="7">
        <v>6</v>
      </c>
      <c r="G27" s="7">
        <v>35.5</v>
      </c>
    </row>
    <row r="28" spans="1:10" x14ac:dyDescent="0.3">
      <c r="E28" s="25">
        <v>15</v>
      </c>
      <c r="F28" s="7">
        <v>5.5</v>
      </c>
      <c r="G28" s="7">
        <v>36.5</v>
      </c>
      <c r="H28" s="7"/>
      <c r="I28" s="7"/>
      <c r="J28" s="7"/>
    </row>
    <row r="29" spans="1:10" x14ac:dyDescent="0.3">
      <c r="E29" s="25">
        <v>14</v>
      </c>
      <c r="F29" s="7">
        <v>5.5</v>
      </c>
      <c r="G29" s="7">
        <v>35</v>
      </c>
      <c r="H29" s="7"/>
      <c r="I29" s="7"/>
      <c r="J29" s="7"/>
    </row>
    <row r="30" spans="1:10" x14ac:dyDescent="0.3">
      <c r="E30" s="25">
        <v>13</v>
      </c>
      <c r="F30" s="7">
        <v>6</v>
      </c>
      <c r="G30" s="7">
        <v>37</v>
      </c>
      <c r="H30" s="7"/>
      <c r="I30" s="7"/>
      <c r="J30" s="7"/>
    </row>
    <row r="31" spans="1:10" x14ac:dyDescent="0.3">
      <c r="E31" s="25">
        <v>12</v>
      </c>
      <c r="F31" s="7">
        <v>5.5</v>
      </c>
      <c r="G31" s="7">
        <v>34</v>
      </c>
      <c r="H31" s="7"/>
      <c r="I31" s="7"/>
      <c r="J31" s="7"/>
    </row>
    <row r="32" spans="1:10" x14ac:dyDescent="0.3">
      <c r="E32" s="25">
        <v>11</v>
      </c>
      <c r="F32" s="7">
        <v>6</v>
      </c>
      <c r="G32" s="7">
        <v>32.5</v>
      </c>
      <c r="H32" s="7"/>
      <c r="I32" s="7"/>
      <c r="J32" s="7"/>
    </row>
    <row r="33" spans="5:10" x14ac:dyDescent="0.3">
      <c r="E33" s="25">
        <v>10</v>
      </c>
      <c r="F33" s="7">
        <v>4.5</v>
      </c>
      <c r="G33" s="7">
        <v>32.5</v>
      </c>
      <c r="H33" s="7"/>
      <c r="I33" s="7"/>
      <c r="J33" s="7"/>
    </row>
    <row r="34" spans="5:10" x14ac:dyDescent="0.3">
      <c r="E34" s="25">
        <v>9</v>
      </c>
      <c r="F34" s="7">
        <v>5.5</v>
      </c>
      <c r="G34" s="7">
        <v>33</v>
      </c>
      <c r="H34" s="7"/>
      <c r="I34" s="7"/>
      <c r="J34" s="7"/>
    </row>
    <row r="35" spans="5:10" x14ac:dyDescent="0.3">
      <c r="E35" s="25">
        <v>8</v>
      </c>
      <c r="F35" s="7">
        <v>3.5</v>
      </c>
      <c r="G35" s="7">
        <v>31</v>
      </c>
      <c r="H35" s="7"/>
      <c r="I35" s="7"/>
      <c r="J35" s="7"/>
    </row>
    <row r="36" spans="5:10" x14ac:dyDescent="0.3">
      <c r="E36" s="25">
        <v>7</v>
      </c>
      <c r="F36" s="7">
        <v>6.5</v>
      </c>
      <c r="G36" s="7">
        <v>36</v>
      </c>
      <c r="H36" s="7"/>
      <c r="I36" s="7"/>
      <c r="J36" s="7"/>
    </row>
    <row r="37" spans="5:10" x14ac:dyDescent="0.3">
      <c r="E37" s="25">
        <v>6</v>
      </c>
      <c r="F37" s="7">
        <v>5</v>
      </c>
      <c r="G37" s="7">
        <v>33.5</v>
      </c>
      <c r="H37" s="7"/>
      <c r="I37" s="7"/>
      <c r="J37" s="7"/>
    </row>
    <row r="38" spans="5:10" x14ac:dyDescent="0.3">
      <c r="E38" s="25">
        <v>5</v>
      </c>
      <c r="F38" s="7">
        <v>5</v>
      </c>
      <c r="G38" s="7">
        <v>31.5</v>
      </c>
      <c r="H38" s="7"/>
      <c r="I38" s="7"/>
      <c r="J38" s="7"/>
    </row>
    <row r="39" spans="5:10" x14ac:dyDescent="0.3">
      <c r="E39" s="25">
        <v>4</v>
      </c>
      <c r="F39" s="7">
        <v>0.5</v>
      </c>
      <c r="G39" s="7">
        <v>27</v>
      </c>
      <c r="H39" s="7"/>
      <c r="I39" s="7"/>
      <c r="J39" s="7"/>
    </row>
    <row r="40" spans="5:10" x14ac:dyDescent="0.3">
      <c r="E40" s="25">
        <v>3</v>
      </c>
      <c r="F40" s="7">
        <v>5.5</v>
      </c>
      <c r="G40" s="7">
        <v>33</v>
      </c>
      <c r="H40" s="7"/>
      <c r="I40" s="7"/>
      <c r="J40" s="7"/>
    </row>
    <row r="41" spans="5:10" x14ac:dyDescent="0.3">
      <c r="E41" s="25">
        <v>2</v>
      </c>
      <c r="F41" s="7">
        <v>5.5</v>
      </c>
      <c r="G41" s="7">
        <v>31</v>
      </c>
    </row>
    <row r="42" spans="5:10" x14ac:dyDescent="0.3">
      <c r="E42" s="25">
        <v>1</v>
      </c>
      <c r="F42" s="7">
        <v>4</v>
      </c>
      <c r="G42" s="7">
        <v>33.5</v>
      </c>
    </row>
    <row r="43" spans="5:10" x14ac:dyDescent="0.3">
      <c r="E43" s="25" t="s">
        <v>44</v>
      </c>
      <c r="F43" s="7">
        <v>4.9302325581395348</v>
      </c>
      <c r="G43" s="7">
        <v>34.116279069767444</v>
      </c>
    </row>
  </sheetData>
  <pageMargins left="0.7" right="0.7" top="0.75" bottom="0.75" header="0.3" footer="0.3"/>
  <pageSetup paperSize="9" scale="70" orientation="landscape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83E7-EB17-4147-9E48-52F21741356C}">
  <dimension ref="B3:G63"/>
  <sheetViews>
    <sheetView topLeftCell="A45" zoomScaleNormal="100" workbookViewId="0">
      <selection activeCell="F37" sqref="F37"/>
    </sheetView>
  </sheetViews>
  <sheetFormatPr defaultRowHeight="14.4" x14ac:dyDescent="0.3"/>
  <cols>
    <col min="2" max="2" width="13" bestFit="1" customWidth="1"/>
    <col min="3" max="3" width="26.6640625" bestFit="1" customWidth="1"/>
    <col min="4" max="4" width="23.77734375" bestFit="1" customWidth="1"/>
    <col min="5" max="5" width="33.44140625" bestFit="1" customWidth="1"/>
    <col min="6" max="6" width="49.44140625" bestFit="1" customWidth="1"/>
    <col min="7" max="7" width="30.77734375" bestFit="1" customWidth="1"/>
    <col min="8" max="8" width="28.33203125" bestFit="1" customWidth="1"/>
    <col min="9" max="9" width="37.88671875" bestFit="1" customWidth="1"/>
    <col min="10" max="10" width="53.5546875" bestFit="1" customWidth="1"/>
    <col min="11" max="11" width="54.33203125" bestFit="1" customWidth="1"/>
    <col min="12" max="12" width="22.21875" bestFit="1" customWidth="1"/>
  </cols>
  <sheetData>
    <row r="3" spans="2:7" x14ac:dyDescent="0.3">
      <c r="B3" s="24" t="s">
        <v>43</v>
      </c>
      <c r="C3" t="s">
        <v>41</v>
      </c>
      <c r="D3" t="s">
        <v>48</v>
      </c>
      <c r="E3" t="s">
        <v>42</v>
      </c>
      <c r="F3" t="s">
        <v>46</v>
      </c>
    </row>
    <row r="4" spans="2:7" x14ac:dyDescent="0.3">
      <c r="B4" s="25">
        <v>2024</v>
      </c>
      <c r="C4" s="7">
        <v>42.65</v>
      </c>
      <c r="D4" s="35">
        <v>20</v>
      </c>
      <c r="E4" s="7">
        <v>10.6</v>
      </c>
      <c r="F4" s="7">
        <v>33</v>
      </c>
    </row>
    <row r="5" spans="2:7" x14ac:dyDescent="0.3">
      <c r="B5" s="25">
        <v>2025</v>
      </c>
      <c r="C5" s="7">
        <v>35.086956521739133</v>
      </c>
      <c r="D5" s="35">
        <v>23</v>
      </c>
      <c r="E5" s="7">
        <v>0</v>
      </c>
      <c r="F5" s="7">
        <v>35.086956521739133</v>
      </c>
    </row>
    <row r="6" spans="2:7" x14ac:dyDescent="0.3">
      <c r="B6" s="25" t="s">
        <v>44</v>
      </c>
      <c r="C6" s="7">
        <v>38.604651162790695</v>
      </c>
      <c r="D6" s="35">
        <v>43</v>
      </c>
      <c r="E6" s="7">
        <v>4.9302325581395348</v>
      </c>
      <c r="F6" s="7">
        <v>34.116279069767444</v>
      </c>
    </row>
    <row r="10" spans="2:7" x14ac:dyDescent="0.3">
      <c r="C10" t="s">
        <v>63</v>
      </c>
      <c r="D10" s="30">
        <f>MEDIAN('DATA Cleaning'!O2:O21)</f>
        <v>42.5</v>
      </c>
      <c r="F10" s="25" t="s">
        <v>11</v>
      </c>
      <c r="G10">
        <v>5</v>
      </c>
    </row>
    <row r="11" spans="2:7" x14ac:dyDescent="0.3">
      <c r="C11" t="s">
        <v>64</v>
      </c>
      <c r="D11" t="s">
        <v>65</v>
      </c>
      <c r="F11" s="25" t="s">
        <v>13</v>
      </c>
      <c r="G11">
        <v>3</v>
      </c>
    </row>
    <row r="12" spans="2:7" x14ac:dyDescent="0.3">
      <c r="C12" t="s">
        <v>63</v>
      </c>
      <c r="D12" s="7">
        <f>MEDIAN('DATA Cleaning'!O22:O44)</f>
        <v>35</v>
      </c>
      <c r="F12" s="25" t="s">
        <v>28</v>
      </c>
      <c r="G12">
        <v>12</v>
      </c>
    </row>
    <row r="13" spans="2:7" x14ac:dyDescent="0.3">
      <c r="C13" t="s">
        <v>64</v>
      </c>
      <c r="D13" t="s">
        <v>66</v>
      </c>
      <c r="F13" s="25" t="s">
        <v>17</v>
      </c>
      <c r="G13">
        <v>8</v>
      </c>
    </row>
    <row r="14" spans="2:7" x14ac:dyDescent="0.3">
      <c r="F14" s="25" t="s">
        <v>26</v>
      </c>
      <c r="G14">
        <v>2</v>
      </c>
    </row>
    <row r="15" spans="2:7" x14ac:dyDescent="0.3">
      <c r="F15" s="25" t="s">
        <v>9</v>
      </c>
      <c r="G15">
        <v>13</v>
      </c>
    </row>
    <row r="17" spans="2:7" x14ac:dyDescent="0.3">
      <c r="B17" s="24" t="s">
        <v>48</v>
      </c>
      <c r="C17" s="24" t="s">
        <v>67</v>
      </c>
    </row>
    <row r="18" spans="2:7" x14ac:dyDescent="0.3">
      <c r="B18" s="24" t="s">
        <v>43</v>
      </c>
      <c r="C18" t="s">
        <v>49</v>
      </c>
      <c r="D18" t="s">
        <v>44</v>
      </c>
      <c r="F18" s="33" t="s">
        <v>70</v>
      </c>
      <c r="G18" s="28" t="s">
        <v>74</v>
      </c>
    </row>
    <row r="19" spans="2:7" x14ac:dyDescent="0.3">
      <c r="B19" s="25">
        <v>2024</v>
      </c>
      <c r="C19" s="35">
        <v>20</v>
      </c>
      <c r="D19" s="35">
        <v>20</v>
      </c>
      <c r="F19" t="s">
        <v>79</v>
      </c>
      <c r="G19">
        <f>50-26</f>
        <v>24</v>
      </c>
    </row>
    <row r="20" spans="2:7" x14ac:dyDescent="0.3">
      <c r="B20" s="25">
        <v>2025</v>
      </c>
      <c r="C20" s="35">
        <v>23</v>
      </c>
      <c r="D20" s="35">
        <v>23</v>
      </c>
      <c r="F20" t="s">
        <v>80</v>
      </c>
      <c r="G20">
        <f>40-28</f>
        <v>12</v>
      </c>
    </row>
    <row r="21" spans="2:7" x14ac:dyDescent="0.3">
      <c r="B21" s="25" t="s">
        <v>44</v>
      </c>
      <c r="C21" s="35">
        <v>43</v>
      </c>
      <c r="D21" s="35">
        <v>43</v>
      </c>
    </row>
    <row r="24" spans="2:7" x14ac:dyDescent="0.3">
      <c r="B24" t="s">
        <v>77</v>
      </c>
      <c r="C24">
        <f>D21-C21</f>
        <v>0</v>
      </c>
    </row>
    <row r="26" spans="2:7" x14ac:dyDescent="0.3">
      <c r="B26" s="28" t="s">
        <v>68</v>
      </c>
      <c r="C26" s="28">
        <v>2024</v>
      </c>
      <c r="D26" s="28">
        <v>2025</v>
      </c>
    </row>
    <row r="27" spans="2:7" x14ac:dyDescent="0.3">
      <c r="B27" t="s">
        <v>104</v>
      </c>
      <c r="C27">
        <v>11</v>
      </c>
      <c r="D27">
        <v>0</v>
      </c>
    </row>
    <row r="28" spans="2:7" x14ac:dyDescent="0.3">
      <c r="B28" t="s">
        <v>105</v>
      </c>
      <c r="C28">
        <v>33</v>
      </c>
      <c r="D28">
        <v>35</v>
      </c>
    </row>
    <row r="29" spans="2:7" x14ac:dyDescent="0.3">
      <c r="B29" t="s">
        <v>69</v>
      </c>
      <c r="C29">
        <v>43</v>
      </c>
      <c r="D29">
        <v>35</v>
      </c>
    </row>
    <row r="31" spans="2:7" x14ac:dyDescent="0.3">
      <c r="B31" t="s">
        <v>70</v>
      </c>
      <c r="C31" t="s">
        <v>74</v>
      </c>
    </row>
    <row r="32" spans="2:7" x14ac:dyDescent="0.3">
      <c r="B32" t="s">
        <v>71</v>
      </c>
      <c r="C32" s="29">
        <f>(D10-D12)/D10</f>
        <v>0.17647058823529413</v>
      </c>
    </row>
    <row r="33" spans="2:4" x14ac:dyDescent="0.3">
      <c r="B33" t="s">
        <v>72</v>
      </c>
      <c r="C33" s="7">
        <f>D10</f>
        <v>42.5</v>
      </c>
    </row>
    <row r="34" spans="2:4" x14ac:dyDescent="0.3">
      <c r="B34" t="s">
        <v>73</v>
      </c>
      <c r="C34" s="7">
        <f>D12</f>
        <v>35</v>
      </c>
    </row>
    <row r="36" spans="2:4" x14ac:dyDescent="0.3">
      <c r="C36" t="str">
        <f>TEXT(D10,"0")&amp;" → "&amp;TEXT(D12,"0")</f>
        <v>43 → 35</v>
      </c>
    </row>
    <row r="37" spans="2:4" x14ac:dyDescent="0.3">
      <c r="C37" t="str">
        <f>TEXT(E4,"0")&amp;" → "&amp;TEXT(E5,"0")</f>
        <v>11 → 0</v>
      </c>
    </row>
    <row r="40" spans="2:4" ht="18" x14ac:dyDescent="0.35">
      <c r="B40" s="9"/>
      <c r="C40" s="34">
        <v>2024</v>
      </c>
      <c r="D40" s="34">
        <v>2025</v>
      </c>
    </row>
    <row r="41" spans="2:4" x14ac:dyDescent="0.3">
      <c r="B41" s="9" t="s">
        <v>81</v>
      </c>
      <c r="C41" s="9" cm="1">
        <f t="array" ref="C41:C60">_xlfn._xlws.FILTER(Table1[Total Pathway WD],Table1[Year]=2024)</f>
        <v>40</v>
      </c>
      <c r="D41" s="9" cm="1">
        <f t="array" ref="D41:D63">_xlfn._xlws.FILTER(Table1[Total Pathway WD],Table1[Year]=2025)</f>
        <v>34</v>
      </c>
    </row>
    <row r="42" spans="2:4" x14ac:dyDescent="0.3">
      <c r="B42" s="9" t="s">
        <v>82</v>
      </c>
      <c r="C42" s="9">
        <v>40</v>
      </c>
      <c r="D42" s="9">
        <v>32</v>
      </c>
    </row>
    <row r="43" spans="2:4" x14ac:dyDescent="0.3">
      <c r="B43" s="9" t="s">
        <v>83</v>
      </c>
      <c r="C43" s="9">
        <v>40</v>
      </c>
      <c r="D43" s="9">
        <v>36</v>
      </c>
    </row>
    <row r="44" spans="2:4" x14ac:dyDescent="0.3">
      <c r="B44" s="9" t="s">
        <v>84</v>
      </c>
      <c r="C44" s="9">
        <v>26</v>
      </c>
      <c r="D44" s="9">
        <v>28</v>
      </c>
    </row>
    <row r="45" spans="2:4" x14ac:dyDescent="0.3">
      <c r="B45" s="9" t="s">
        <v>85</v>
      </c>
      <c r="C45" s="9">
        <v>39</v>
      </c>
      <c r="D45" s="9">
        <v>33</v>
      </c>
    </row>
    <row r="46" spans="2:4" x14ac:dyDescent="0.3">
      <c r="B46" s="9" t="s">
        <v>86</v>
      </c>
      <c r="C46" s="9">
        <v>41</v>
      </c>
      <c r="D46" s="9">
        <v>35</v>
      </c>
    </row>
    <row r="47" spans="2:4" x14ac:dyDescent="0.3">
      <c r="B47" s="9" t="s">
        <v>87</v>
      </c>
      <c r="C47" s="9">
        <v>45</v>
      </c>
      <c r="D47" s="9">
        <v>39</v>
      </c>
    </row>
    <row r="48" spans="2:4" x14ac:dyDescent="0.3">
      <c r="B48" s="9" t="s">
        <v>88</v>
      </c>
      <c r="C48" s="9">
        <v>37</v>
      </c>
      <c r="D48" s="9">
        <v>31</v>
      </c>
    </row>
    <row r="49" spans="2:4" x14ac:dyDescent="0.3">
      <c r="B49" s="9" t="s">
        <v>89</v>
      </c>
      <c r="C49" s="9">
        <v>42</v>
      </c>
      <c r="D49" s="9">
        <v>34</v>
      </c>
    </row>
    <row r="50" spans="2:4" x14ac:dyDescent="0.3">
      <c r="B50" s="9" t="s">
        <v>90</v>
      </c>
      <c r="C50" s="9">
        <v>40</v>
      </c>
      <c r="D50" s="9">
        <v>33</v>
      </c>
    </row>
    <row r="51" spans="2:4" x14ac:dyDescent="0.3">
      <c r="B51" s="9" t="s">
        <v>91</v>
      </c>
      <c r="C51" s="9">
        <v>40</v>
      </c>
      <c r="D51" s="9">
        <v>36</v>
      </c>
    </row>
    <row r="52" spans="2:4" x14ac:dyDescent="0.3">
      <c r="B52" s="9" t="s">
        <v>92</v>
      </c>
      <c r="C52" s="9">
        <v>44</v>
      </c>
      <c r="D52" s="9">
        <v>34</v>
      </c>
    </row>
    <row r="53" spans="2:4" x14ac:dyDescent="0.3">
      <c r="B53" s="9" t="s">
        <v>93</v>
      </c>
      <c r="C53" s="9">
        <v>47</v>
      </c>
      <c r="D53" s="9">
        <v>38</v>
      </c>
    </row>
    <row r="54" spans="2:4" x14ac:dyDescent="0.3">
      <c r="B54" s="9" t="s">
        <v>94</v>
      </c>
      <c r="C54" s="9">
        <v>48</v>
      </c>
      <c r="D54" s="9">
        <v>32</v>
      </c>
    </row>
    <row r="55" spans="2:4" x14ac:dyDescent="0.3">
      <c r="B55" s="9" t="s">
        <v>95</v>
      </c>
      <c r="C55" s="9">
        <v>43</v>
      </c>
      <c r="D55" s="9">
        <v>40</v>
      </c>
    </row>
    <row r="56" spans="2:4" x14ac:dyDescent="0.3">
      <c r="B56" s="9" t="s">
        <v>96</v>
      </c>
      <c r="C56" s="9">
        <v>45</v>
      </c>
      <c r="D56" s="9">
        <v>37</v>
      </c>
    </row>
    <row r="57" spans="2:4" x14ac:dyDescent="0.3">
      <c r="B57" s="9" t="s">
        <v>97</v>
      </c>
      <c r="C57" s="9">
        <v>50</v>
      </c>
      <c r="D57" s="9">
        <v>35</v>
      </c>
    </row>
    <row r="58" spans="2:4" x14ac:dyDescent="0.3">
      <c r="B58" s="9" t="s">
        <v>98</v>
      </c>
      <c r="C58" s="9">
        <v>47</v>
      </c>
      <c r="D58" s="9">
        <v>39</v>
      </c>
    </row>
    <row r="59" spans="2:4" x14ac:dyDescent="0.3">
      <c r="B59" s="9" t="s">
        <v>99</v>
      </c>
      <c r="C59" s="9">
        <v>49</v>
      </c>
      <c r="D59" s="9">
        <v>33</v>
      </c>
    </row>
    <row r="60" spans="2:4" x14ac:dyDescent="0.3">
      <c r="B60" s="9" t="s">
        <v>100</v>
      </c>
      <c r="C60" s="9">
        <v>50</v>
      </c>
      <c r="D60" s="9">
        <v>36</v>
      </c>
    </row>
    <row r="61" spans="2:4" x14ac:dyDescent="0.3">
      <c r="B61" s="9" t="s">
        <v>101</v>
      </c>
      <c r="C61" s="9"/>
      <c r="D61" s="9">
        <v>34</v>
      </c>
    </row>
    <row r="62" spans="2:4" x14ac:dyDescent="0.3">
      <c r="B62" s="9" t="s">
        <v>102</v>
      </c>
      <c r="C62" s="9"/>
      <c r="D62" s="9">
        <v>38</v>
      </c>
    </row>
    <row r="63" spans="2:4" x14ac:dyDescent="0.3">
      <c r="B63" s="9" t="s">
        <v>103</v>
      </c>
      <c r="C63" s="9"/>
      <c r="D63" s="9">
        <v>40</v>
      </c>
    </row>
  </sheetData>
  <phoneticPr fontId="20" type="noConversion"/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5031-7098-415C-944A-5FD414011BBE}">
  <sheetPr>
    <pageSetUpPr autoPageBreaks="0"/>
  </sheetPr>
  <dimension ref="B2:B3"/>
  <sheetViews>
    <sheetView showGridLines="0" zoomScale="85" zoomScaleNormal="85" workbookViewId="0">
      <selection activeCell="N2" sqref="N2"/>
    </sheetView>
  </sheetViews>
  <sheetFormatPr defaultRowHeight="14.4" x14ac:dyDescent="0.3"/>
  <cols>
    <col min="1" max="1" width="6.33203125" customWidth="1"/>
  </cols>
  <sheetData>
    <row r="2" spans="2:2" ht="31.2" x14ac:dyDescent="0.3">
      <c r="B2" s="31" t="s">
        <v>76</v>
      </c>
    </row>
    <row r="3" spans="2:2" ht="15.6" x14ac:dyDescent="0.3">
      <c r="B3" s="32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Cleaning</vt:lpstr>
      <vt:lpstr>Refererence Tables</vt:lpstr>
      <vt:lpstr>Initial Analysis</vt:lpstr>
      <vt:lpstr>Deeper  Analysis &amp; Validation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Riley</dc:creator>
  <cp:lastModifiedBy>Marc Riley</cp:lastModifiedBy>
  <cp:lastPrinted>2026-07-09T17:06:09Z</cp:lastPrinted>
  <dcterms:created xsi:type="dcterms:W3CDTF">2026-06-19T13:48:34Z</dcterms:created>
  <dcterms:modified xsi:type="dcterms:W3CDTF">2026-09-22T10:48:39Z</dcterms:modified>
</cp:coreProperties>
</file>